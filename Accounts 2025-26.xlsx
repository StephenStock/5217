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66e9b610da45ce7/Documents/!LODGE/ACCOUNTS/2025-2026/"/>
    </mc:Choice>
  </mc:AlternateContent>
  <xr:revisionPtr revIDLastSave="3242" documentId="11_F25DC773A252ABDACC104893F15D6C6E5ADE58E8" xr6:coauthVersionLast="47" xr6:coauthVersionMax="47" xr10:uidLastSave="{98CC8EF9-1942-4092-B197-43C4923143AB}"/>
  <bookViews>
    <workbookView xWindow="-110" yWindow="-110" windowWidth="25820" windowHeight="15500" tabRatio="448" xr2:uid="{00000000-000D-0000-FFFF-FFFF00000000}"/>
  </bookViews>
  <sheets>
    <sheet name="Statement" sheetId="4" r:id="rId1"/>
    <sheet name="Cash" sheetId="2" r:id="rId2"/>
    <sheet name="Bank" sheetId="1" r:id="rId3"/>
    <sheet name="Members" sheetId="3" r:id="rId4"/>
    <sheet name="Dining Check" sheetId="5" r:id="rId5"/>
  </sheets>
  <definedNames>
    <definedName name="members">Members!$A$2:$A$31</definedName>
    <definedName name="_xlnm.Print_Area" localSheetId="2">Bank!$A$1:$AJ$98</definedName>
    <definedName name="_xlnm.Print_Area" localSheetId="1">Cash!$A$1:$O$57</definedName>
    <definedName name="_xlnm.Print_Area" localSheetId="3">Members!$A$1:$K$31</definedName>
    <definedName name="_xlnm.Print_Area" localSheetId="0">Statement!$A$1:$H$52</definedName>
    <definedName name="_xlnm.Print_Titles" localSheetId="2">Bank!$1:$1</definedName>
    <definedName name="_xlnm.Print_Titles" localSheetId="1">Cash!$2:$2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M43" i="2"/>
  <c r="M42" i="2"/>
  <c r="L42" i="2"/>
  <c r="H42" i="2"/>
  <c r="L39" i="2"/>
  <c r="H39" i="2"/>
  <c r="L41" i="2"/>
  <c r="H41" i="2"/>
  <c r="L40" i="2"/>
  <c r="H40" i="2"/>
  <c r="L38" i="2"/>
  <c r="H38" i="2"/>
  <c r="AG98" i="1"/>
  <c r="H12" i="4" s="1"/>
  <c r="J18" i="3"/>
  <c r="H18" i="3"/>
  <c r="E18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G31" i="3"/>
  <c r="G30" i="3"/>
  <c r="G29" i="3"/>
  <c r="G28" i="3"/>
  <c r="G27" i="3"/>
  <c r="G26" i="3"/>
  <c r="G25" i="3"/>
  <c r="G24" i="3"/>
  <c r="G23" i="3"/>
  <c r="G22" i="3"/>
  <c r="G20" i="3"/>
  <c r="G19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C35" i="4"/>
  <c r="C34" i="4"/>
  <c r="L22" i="4" l="1"/>
  <c r="L21" i="4"/>
  <c r="L17" i="4"/>
  <c r="L16" i="4"/>
  <c r="L12" i="4"/>
  <c r="L11" i="4"/>
  <c r="L6" i="4"/>
  <c r="K29" i="4"/>
  <c r="O13" i="4"/>
  <c r="K28" i="4"/>
  <c r="K27" i="4"/>
  <c r="O9" i="4"/>
  <c r="O5" i="4"/>
  <c r="L13" i="4" l="1"/>
  <c r="L27" i="4" s="1"/>
  <c r="L23" i="4"/>
  <c r="L29" i="4" s="1"/>
  <c r="L18" i="4"/>
  <c r="L28" i="4" s="1"/>
  <c r="R9" i="4"/>
  <c r="R5" i="4"/>
  <c r="B32" i="3"/>
  <c r="B33" i="3"/>
  <c r="J32" i="3"/>
  <c r="G18" i="3"/>
  <c r="J11" i="5"/>
  <c r="L27" i="2"/>
  <c r="H27" i="2"/>
  <c r="L29" i="2"/>
  <c r="H29" i="2"/>
  <c r="L28" i="2"/>
  <c r="H28" i="2"/>
  <c r="L26" i="2"/>
  <c r="H26" i="2"/>
  <c r="P58" i="1"/>
  <c r="O58" i="1"/>
  <c r="C9" i="4"/>
  <c r="J31" i="4" l="1"/>
  <c r="J30" i="4"/>
  <c r="J29" i="4"/>
  <c r="J28" i="4"/>
  <c r="J27" i="4"/>
  <c r="AI11" i="1"/>
  <c r="J11" i="1"/>
  <c r="X11" i="1"/>
  <c r="H11" i="1"/>
  <c r="AI10" i="1"/>
  <c r="X10" i="1"/>
  <c r="J10" i="1"/>
  <c r="H10" i="1"/>
  <c r="L53" i="2"/>
  <c r="L55" i="2"/>
  <c r="L54" i="2"/>
  <c r="L52" i="2"/>
  <c r="L51" i="2"/>
  <c r="L50" i="2"/>
  <c r="L49" i="2"/>
  <c r="L48" i="2"/>
  <c r="L45" i="2"/>
  <c r="L44" i="2"/>
  <c r="L43" i="2"/>
  <c r="L37" i="2"/>
  <c r="L32" i="2"/>
  <c r="L34" i="2"/>
  <c r="L33" i="2"/>
  <c r="L31" i="2"/>
  <c r="L30" i="2"/>
  <c r="L25" i="2"/>
  <c r="L20" i="2"/>
  <c r="L19" i="2"/>
  <c r="L22" i="2"/>
  <c r="L21" i="2"/>
  <c r="L18" i="2"/>
  <c r="L17" i="2"/>
  <c r="L16" i="2"/>
  <c r="L15" i="2"/>
  <c r="L14" i="2"/>
  <c r="L13" i="2"/>
  <c r="L12" i="2"/>
  <c r="L11" i="2"/>
  <c r="L10" i="2"/>
  <c r="L5" i="2"/>
  <c r="L7" i="2"/>
  <c r="L6" i="2"/>
  <c r="L4" i="2"/>
  <c r="L3" i="2"/>
  <c r="H53" i="2"/>
  <c r="H55" i="2"/>
  <c r="H54" i="2"/>
  <c r="H52" i="2"/>
  <c r="H51" i="2"/>
  <c r="H50" i="2"/>
  <c r="H49" i="2"/>
  <c r="H48" i="2"/>
  <c r="H45" i="2"/>
  <c r="H44" i="2"/>
  <c r="H43" i="2"/>
  <c r="H37" i="2"/>
  <c r="H32" i="2"/>
  <c r="H34" i="2"/>
  <c r="H33" i="2"/>
  <c r="H31" i="2"/>
  <c r="H30" i="2"/>
  <c r="H25" i="2"/>
  <c r="H20" i="2"/>
  <c r="H19" i="2"/>
  <c r="H22" i="2"/>
  <c r="H21" i="2"/>
  <c r="M21" i="2" s="1"/>
  <c r="H18" i="2"/>
  <c r="H17" i="2"/>
  <c r="H16" i="2"/>
  <c r="H15" i="2"/>
  <c r="H14" i="2"/>
  <c r="H13" i="2"/>
  <c r="H12" i="2"/>
  <c r="H11" i="2"/>
  <c r="H10" i="2"/>
  <c r="H8" i="2"/>
  <c r="H5" i="2"/>
  <c r="H7" i="2"/>
  <c r="H6" i="2"/>
  <c r="H4" i="2"/>
  <c r="H3" i="2"/>
  <c r="E21" i="3"/>
  <c r="G21" i="3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D98" i="1"/>
  <c r="D38" i="5"/>
  <c r="H38" i="5"/>
  <c r="I52" i="5"/>
  <c r="H44" i="5"/>
  <c r="G44" i="5"/>
  <c r="F44" i="5"/>
  <c r="E44" i="5"/>
  <c r="D44" i="5"/>
  <c r="H43" i="5"/>
  <c r="D43" i="5"/>
  <c r="D48" i="5"/>
  <c r="H50" i="5"/>
  <c r="G50" i="5"/>
  <c r="F50" i="5"/>
  <c r="E50" i="5"/>
  <c r="D50" i="5"/>
  <c r="I46" i="5"/>
  <c r="H36" i="5"/>
  <c r="G36" i="5"/>
  <c r="F36" i="5"/>
  <c r="E36" i="5"/>
  <c r="D36" i="5"/>
  <c r="D39" i="5" s="1"/>
  <c r="H35" i="5"/>
  <c r="H39" i="5" s="1"/>
  <c r="H40" i="5" s="1"/>
  <c r="G35" i="5"/>
  <c r="G39" i="5" s="1"/>
  <c r="F35" i="5"/>
  <c r="F39" i="5" s="1"/>
  <c r="E35" i="5"/>
  <c r="D35" i="5"/>
  <c r="C34" i="5"/>
  <c r="G34" i="5"/>
  <c r="G38" i="5"/>
  <c r="H53" i="5"/>
  <c r="G53" i="5"/>
  <c r="F53" i="5"/>
  <c r="E53" i="5"/>
  <c r="D53" i="5"/>
  <c r="I37" i="5"/>
  <c r="J37" i="5"/>
  <c r="I45" i="5"/>
  <c r="I32" i="5"/>
  <c r="J32" i="5"/>
  <c r="I31" i="5"/>
  <c r="I30" i="5"/>
  <c r="J30" i="5"/>
  <c r="I29" i="5"/>
  <c r="J29" i="5"/>
  <c r="I28" i="5"/>
  <c r="I27" i="5"/>
  <c r="J27" i="5"/>
  <c r="I26" i="5"/>
  <c r="I25" i="5"/>
  <c r="I24" i="5"/>
  <c r="J24" i="5"/>
  <c r="I23" i="5"/>
  <c r="I22" i="5"/>
  <c r="I21" i="5"/>
  <c r="I20" i="5"/>
  <c r="J20" i="5"/>
  <c r="I19" i="5"/>
  <c r="I18" i="5"/>
  <c r="I17" i="5"/>
  <c r="J17" i="5"/>
  <c r="I16" i="5"/>
  <c r="I15" i="5"/>
  <c r="J15" i="5"/>
  <c r="I14" i="5"/>
  <c r="J14" i="5"/>
  <c r="I13" i="5"/>
  <c r="I12" i="5"/>
  <c r="I11" i="5"/>
  <c r="I10" i="5"/>
  <c r="I9" i="5"/>
  <c r="J9" i="5"/>
  <c r="I8" i="5"/>
  <c r="J8" i="5"/>
  <c r="I7" i="5"/>
  <c r="J7" i="5"/>
  <c r="I6" i="5"/>
  <c r="J6" i="5"/>
  <c r="I5" i="5"/>
  <c r="J5" i="5"/>
  <c r="I4" i="5"/>
  <c r="J4" i="5"/>
  <c r="I3" i="5"/>
  <c r="J3" i="5"/>
  <c r="I2" i="5"/>
  <c r="G46" i="4"/>
  <c r="G45" i="4"/>
  <c r="H43" i="4"/>
  <c r="C49" i="4"/>
  <c r="X12" i="1"/>
  <c r="X13" i="1"/>
  <c r="H13" i="1" s="1"/>
  <c r="X14" i="1"/>
  <c r="H14" i="1" s="1"/>
  <c r="X15" i="1"/>
  <c r="H15" i="1" s="1"/>
  <c r="H48" i="5"/>
  <c r="I44" i="5"/>
  <c r="G43" i="5"/>
  <c r="G48" i="5"/>
  <c r="I50" i="5"/>
  <c r="F34" i="5"/>
  <c r="F38" i="5" s="1"/>
  <c r="E34" i="5"/>
  <c r="E38" i="5"/>
  <c r="E43" i="5"/>
  <c r="E48" i="5"/>
  <c r="F43" i="5"/>
  <c r="F48" i="5"/>
  <c r="X94" i="1"/>
  <c r="Q98" i="1"/>
  <c r="H29" i="4"/>
  <c r="H30" i="4" s="1"/>
  <c r="E44" i="4" s="1"/>
  <c r="I57" i="2"/>
  <c r="AA98" i="1"/>
  <c r="I43" i="5"/>
  <c r="I48" i="5"/>
  <c r="AI97" i="1"/>
  <c r="AI96" i="1"/>
  <c r="AI95" i="1"/>
  <c r="J95" i="1" s="1"/>
  <c r="AI94" i="1"/>
  <c r="J94" i="1"/>
  <c r="AI93" i="1"/>
  <c r="J93" i="1"/>
  <c r="AI92" i="1"/>
  <c r="J92" i="1" s="1"/>
  <c r="AI91" i="1"/>
  <c r="J91" i="1"/>
  <c r="AI90" i="1"/>
  <c r="J90" i="1" s="1"/>
  <c r="AI89" i="1"/>
  <c r="J89" i="1"/>
  <c r="AI88" i="1"/>
  <c r="J88" i="1" s="1"/>
  <c r="AI87" i="1"/>
  <c r="J87" i="1" s="1"/>
  <c r="AI86" i="1"/>
  <c r="J86" i="1"/>
  <c r="AI85" i="1"/>
  <c r="J85" i="1" s="1"/>
  <c r="AI84" i="1"/>
  <c r="J84" i="1"/>
  <c r="AI83" i="1"/>
  <c r="J83" i="1"/>
  <c r="AI82" i="1"/>
  <c r="J82" i="1"/>
  <c r="AI81" i="1"/>
  <c r="J81" i="1"/>
  <c r="AI80" i="1"/>
  <c r="J80" i="1" s="1"/>
  <c r="AI79" i="1"/>
  <c r="J79" i="1"/>
  <c r="AI78" i="1"/>
  <c r="J78" i="1" s="1"/>
  <c r="AI77" i="1"/>
  <c r="J77" i="1" s="1"/>
  <c r="AI76" i="1"/>
  <c r="J76" i="1" s="1"/>
  <c r="AI75" i="1"/>
  <c r="J75" i="1" s="1"/>
  <c r="AI74" i="1"/>
  <c r="J74" i="1"/>
  <c r="AI73" i="1"/>
  <c r="J73" i="1"/>
  <c r="AI72" i="1"/>
  <c r="J72" i="1"/>
  <c r="AI71" i="1"/>
  <c r="J71" i="1"/>
  <c r="AI70" i="1"/>
  <c r="J70" i="1" s="1"/>
  <c r="AI69" i="1"/>
  <c r="J69" i="1" s="1"/>
  <c r="AI68" i="1"/>
  <c r="J68" i="1" s="1"/>
  <c r="AI67" i="1"/>
  <c r="J67" i="1" s="1"/>
  <c r="AI66" i="1"/>
  <c r="J66" i="1" s="1"/>
  <c r="AI65" i="1"/>
  <c r="J65" i="1" s="1"/>
  <c r="AI64" i="1"/>
  <c r="J64" i="1" s="1"/>
  <c r="AI63" i="1"/>
  <c r="J63" i="1" s="1"/>
  <c r="AI62" i="1"/>
  <c r="J62" i="1"/>
  <c r="AI61" i="1"/>
  <c r="J61" i="1"/>
  <c r="AI60" i="1"/>
  <c r="J60" i="1"/>
  <c r="AI59" i="1"/>
  <c r="J59" i="1" s="1"/>
  <c r="AI58" i="1"/>
  <c r="J58" i="1"/>
  <c r="AI57" i="1"/>
  <c r="J57" i="1"/>
  <c r="AI56" i="1"/>
  <c r="J56" i="1"/>
  <c r="AI55" i="1"/>
  <c r="J55" i="1" s="1"/>
  <c r="AI54" i="1"/>
  <c r="J54" i="1"/>
  <c r="AI53" i="1"/>
  <c r="J53" i="1" s="1"/>
  <c r="AI52" i="1"/>
  <c r="J52" i="1"/>
  <c r="AI51" i="1"/>
  <c r="J51" i="1"/>
  <c r="AI50" i="1"/>
  <c r="J50" i="1"/>
  <c r="AI49" i="1"/>
  <c r="J49" i="1" s="1"/>
  <c r="AI48" i="1"/>
  <c r="J48" i="1"/>
  <c r="AI47" i="1"/>
  <c r="J47" i="1"/>
  <c r="AI46" i="1"/>
  <c r="J46" i="1" s="1"/>
  <c r="AI45" i="1"/>
  <c r="J45" i="1"/>
  <c r="AI44" i="1"/>
  <c r="J44" i="1"/>
  <c r="AI43" i="1"/>
  <c r="J43" i="1"/>
  <c r="AI42" i="1"/>
  <c r="J42" i="1"/>
  <c r="AI41" i="1"/>
  <c r="J41" i="1"/>
  <c r="AI40" i="1"/>
  <c r="J40" i="1" s="1"/>
  <c r="AI39" i="1"/>
  <c r="J39" i="1" s="1"/>
  <c r="AI38" i="1"/>
  <c r="J38" i="1"/>
  <c r="AI37" i="1"/>
  <c r="J37" i="1"/>
  <c r="AI36" i="1"/>
  <c r="J36" i="1"/>
  <c r="AI35" i="1"/>
  <c r="J35" i="1"/>
  <c r="AI34" i="1"/>
  <c r="J34" i="1"/>
  <c r="AI33" i="1"/>
  <c r="J33" i="1"/>
  <c r="AI32" i="1"/>
  <c r="J32" i="1" s="1"/>
  <c r="AI31" i="1"/>
  <c r="J31" i="1" s="1"/>
  <c r="AI30" i="1"/>
  <c r="AI29" i="1"/>
  <c r="J29" i="1"/>
  <c r="AI28" i="1"/>
  <c r="J28" i="1" s="1"/>
  <c r="AI27" i="1"/>
  <c r="J27" i="1"/>
  <c r="AI26" i="1"/>
  <c r="J26" i="1"/>
  <c r="AI25" i="1"/>
  <c r="J25" i="1" s="1"/>
  <c r="AI24" i="1"/>
  <c r="J24" i="1"/>
  <c r="AI23" i="1"/>
  <c r="J23" i="1"/>
  <c r="AI22" i="1"/>
  <c r="J22" i="1"/>
  <c r="AI21" i="1"/>
  <c r="J21" i="1" s="1"/>
  <c r="AI20" i="1"/>
  <c r="J20" i="1"/>
  <c r="AI19" i="1"/>
  <c r="J19" i="1"/>
  <c r="AI18" i="1"/>
  <c r="J18" i="1" s="1"/>
  <c r="AI17" i="1"/>
  <c r="J17" i="1"/>
  <c r="AI16" i="1"/>
  <c r="J16" i="1" s="1"/>
  <c r="AI15" i="1"/>
  <c r="J15" i="1" s="1"/>
  <c r="AI14" i="1"/>
  <c r="J14" i="1"/>
  <c r="AI13" i="1"/>
  <c r="J13" i="1"/>
  <c r="AI12" i="1"/>
  <c r="J12" i="1" s="1"/>
  <c r="AI9" i="1"/>
  <c r="J9" i="1" s="1"/>
  <c r="AI8" i="1"/>
  <c r="J8" i="1"/>
  <c r="AI7" i="1"/>
  <c r="J7" i="1" s="1"/>
  <c r="AI6" i="1"/>
  <c r="J6" i="1" s="1"/>
  <c r="AI5" i="1"/>
  <c r="J5" i="1"/>
  <c r="AI4" i="1"/>
  <c r="J4" i="1"/>
  <c r="AI3" i="1"/>
  <c r="J3" i="1"/>
  <c r="AI2" i="1"/>
  <c r="J2" i="1"/>
  <c r="K57" i="2"/>
  <c r="H11" i="4" s="1"/>
  <c r="L31" i="4" s="1"/>
  <c r="J57" i="2"/>
  <c r="H24" i="4" s="1"/>
  <c r="G57" i="2"/>
  <c r="F57" i="2"/>
  <c r="C18" i="4" s="1"/>
  <c r="E57" i="2"/>
  <c r="D57" i="2"/>
  <c r="C57" i="2"/>
  <c r="S98" i="1"/>
  <c r="C10" i="4" s="1"/>
  <c r="W98" i="1"/>
  <c r="D44" i="4" s="1"/>
  <c r="U98" i="1"/>
  <c r="C19" i="4" s="1"/>
  <c r="R98" i="1"/>
  <c r="C8" i="4" s="1"/>
  <c r="T98" i="1"/>
  <c r="J96" i="1"/>
  <c r="Z98" i="1"/>
  <c r="H17" i="4"/>
  <c r="AH98" i="1"/>
  <c r="H23" i="4" s="1"/>
  <c r="P98" i="1"/>
  <c r="O98" i="1"/>
  <c r="AE98" i="1"/>
  <c r="H10" i="4" s="1"/>
  <c r="L30" i="4" s="1"/>
  <c r="AF98" i="1"/>
  <c r="H6" i="4" s="1"/>
  <c r="AD98" i="1"/>
  <c r="H9" i="4" s="1"/>
  <c r="AC98" i="1"/>
  <c r="H8" i="4" s="1"/>
  <c r="AB98" i="1"/>
  <c r="H7" i="4"/>
  <c r="N98" i="1"/>
  <c r="D46" i="4" s="1"/>
  <c r="M98" i="1"/>
  <c r="D45" i="4"/>
  <c r="L98" i="1"/>
  <c r="X32" i="1"/>
  <c r="H32" i="1" s="1"/>
  <c r="X5" i="1"/>
  <c r="H5" i="1" s="1"/>
  <c r="X18" i="1"/>
  <c r="H18" i="1" s="1"/>
  <c r="X81" i="1"/>
  <c r="H81" i="1"/>
  <c r="X44" i="1"/>
  <c r="H44" i="1" s="1"/>
  <c r="X78" i="1"/>
  <c r="H78" i="1" s="1"/>
  <c r="X2" i="1"/>
  <c r="H2" i="1" s="1"/>
  <c r="X48" i="1"/>
  <c r="H48" i="1"/>
  <c r="X68" i="1"/>
  <c r="H68" i="1"/>
  <c r="X60" i="1"/>
  <c r="H60" i="1" s="1"/>
  <c r="X50" i="1"/>
  <c r="H50" i="1"/>
  <c r="X45" i="1"/>
  <c r="H45" i="1" s="1"/>
  <c r="X21" i="1"/>
  <c r="H21" i="1" s="1"/>
  <c r="X97" i="1"/>
  <c r="X41" i="1"/>
  <c r="H41" i="1"/>
  <c r="H12" i="1"/>
  <c r="X73" i="1"/>
  <c r="H73" i="1" s="1"/>
  <c r="X29" i="1"/>
  <c r="H29" i="1"/>
  <c r="X49" i="1"/>
  <c r="H49" i="1" s="1"/>
  <c r="X76" i="1"/>
  <c r="H76" i="1" s="1"/>
  <c r="X69" i="1"/>
  <c r="H69" i="1" s="1"/>
  <c r="X96" i="1"/>
  <c r="H96" i="1" s="1"/>
  <c r="X39" i="1"/>
  <c r="H39" i="1" s="1"/>
  <c r="X54" i="1"/>
  <c r="H54" i="1" s="1"/>
  <c r="X55" i="1"/>
  <c r="H55" i="1" s="1"/>
  <c r="X72" i="1"/>
  <c r="H72" i="1" s="1"/>
  <c r="X58" i="1"/>
  <c r="H58" i="1"/>
  <c r="X92" i="1"/>
  <c r="H92" i="1"/>
  <c r="X42" i="1"/>
  <c r="H42" i="1" s="1"/>
  <c r="X47" i="1"/>
  <c r="H47" i="1"/>
  <c r="X79" i="1"/>
  <c r="H79" i="1" s="1"/>
  <c r="X16" i="1"/>
  <c r="H16" i="1" s="1"/>
  <c r="X30" i="1"/>
  <c r="H30" i="1"/>
  <c r="X64" i="1"/>
  <c r="H64" i="1"/>
  <c r="X62" i="1"/>
  <c r="H62" i="1" s="1"/>
  <c r="X6" i="1"/>
  <c r="H6" i="1" s="1"/>
  <c r="X20" i="1"/>
  <c r="H20" i="1"/>
  <c r="X77" i="1"/>
  <c r="H77" i="1" s="1"/>
  <c r="X80" i="1"/>
  <c r="H80" i="1" s="1"/>
  <c r="X63" i="1"/>
  <c r="H63" i="1"/>
  <c r="X71" i="1"/>
  <c r="H71" i="1"/>
  <c r="X17" i="1"/>
  <c r="H17" i="1" s="1"/>
  <c r="X87" i="1"/>
  <c r="H87" i="1"/>
  <c r="X40" i="1"/>
  <c r="H40" i="1" s="1"/>
  <c r="X34" i="1"/>
  <c r="H34" i="1"/>
  <c r="X24" i="1"/>
  <c r="H24" i="1"/>
  <c r="X19" i="1"/>
  <c r="H19" i="1" s="1"/>
  <c r="X7" i="1"/>
  <c r="H7" i="1"/>
  <c r="X35" i="1"/>
  <c r="H35" i="1" s="1"/>
  <c r="X43" i="1"/>
  <c r="H43" i="1"/>
  <c r="X23" i="1"/>
  <c r="H23" i="1"/>
  <c r="X4" i="1"/>
  <c r="H4" i="1"/>
  <c r="X56" i="1"/>
  <c r="H56" i="1" s="1"/>
  <c r="X25" i="1"/>
  <c r="H25" i="1" s="1"/>
  <c r="X36" i="1"/>
  <c r="H36" i="1" s="1"/>
  <c r="X61" i="1"/>
  <c r="H61" i="1" s="1"/>
  <c r="X90" i="1"/>
  <c r="H90" i="1"/>
  <c r="X75" i="1"/>
  <c r="H75" i="1"/>
  <c r="X93" i="1"/>
  <c r="H93" i="1"/>
  <c r="X51" i="1"/>
  <c r="H51" i="1"/>
  <c r="X84" i="1"/>
  <c r="H84" i="1"/>
  <c r="X83" i="1"/>
  <c r="H83" i="1" s="1"/>
  <c r="X33" i="1"/>
  <c r="H33" i="1"/>
  <c r="H94" i="1"/>
  <c r="X70" i="1"/>
  <c r="H70" i="1" s="1"/>
  <c r="X85" i="1"/>
  <c r="H85" i="1" s="1"/>
  <c r="X31" i="1"/>
  <c r="H31" i="1" s="1"/>
  <c r="X65" i="1"/>
  <c r="H65" i="1" s="1"/>
  <c r="X86" i="1"/>
  <c r="H86" i="1"/>
  <c r="X95" i="1"/>
  <c r="H95" i="1"/>
  <c r="X88" i="1"/>
  <c r="H88" i="1"/>
  <c r="X27" i="1"/>
  <c r="H27" i="1" s="1"/>
  <c r="X82" i="1"/>
  <c r="H82" i="1" s="1"/>
  <c r="X37" i="1"/>
  <c r="H37" i="1" s="1"/>
  <c r="X57" i="1"/>
  <c r="H57" i="1" s="1"/>
  <c r="X59" i="1"/>
  <c r="H59" i="1" s="1"/>
  <c r="X66" i="1"/>
  <c r="H66" i="1" s="1"/>
  <c r="X89" i="1"/>
  <c r="H89" i="1"/>
  <c r="X38" i="1"/>
  <c r="H38" i="1" s="1"/>
  <c r="X3" i="1"/>
  <c r="X9" i="1"/>
  <c r="H9" i="1"/>
  <c r="X26" i="1"/>
  <c r="H26" i="1"/>
  <c r="X91" i="1"/>
  <c r="H91" i="1"/>
  <c r="X52" i="1"/>
  <c r="H52" i="1" s="1"/>
  <c r="X53" i="1"/>
  <c r="H53" i="1" s="1"/>
  <c r="X28" i="1"/>
  <c r="H28" i="1"/>
  <c r="X8" i="1"/>
  <c r="H8" i="1"/>
  <c r="X22" i="1"/>
  <c r="H22" i="1" s="1"/>
  <c r="X67" i="1"/>
  <c r="H67" i="1" s="1"/>
  <c r="X74" i="1"/>
  <c r="H74" i="1" s="1"/>
  <c r="X46" i="1"/>
  <c r="H46" i="1" s="1"/>
  <c r="H3" i="1"/>
  <c r="M34" i="2" l="1"/>
  <c r="M33" i="2"/>
  <c r="M32" i="2"/>
  <c r="M22" i="2"/>
  <c r="M54" i="2"/>
  <c r="M55" i="2"/>
  <c r="M53" i="2"/>
  <c r="L35" i="4"/>
  <c r="L37" i="4" s="1"/>
  <c r="H18" i="4"/>
  <c r="H20" i="4" s="1"/>
  <c r="E42" i="4" s="1"/>
  <c r="E39" i="5"/>
  <c r="E40" i="5" s="1"/>
  <c r="D40" i="5"/>
  <c r="I39" i="5"/>
  <c r="I38" i="5"/>
  <c r="F40" i="5"/>
  <c r="G40" i="5"/>
  <c r="M44" i="2"/>
  <c r="M45" i="2"/>
  <c r="M6" i="2"/>
  <c r="M7" i="2"/>
  <c r="M20" i="2"/>
  <c r="M5" i="2"/>
  <c r="C17" i="4"/>
  <c r="C20" i="4" s="1"/>
  <c r="D42" i="4" s="1"/>
  <c r="C29" i="4"/>
  <c r="C30" i="4" s="1"/>
  <c r="C7" i="4"/>
  <c r="AI98" i="1"/>
  <c r="H25" i="4"/>
  <c r="E47" i="4" s="1"/>
  <c r="H44" i="4"/>
  <c r="H45" i="4"/>
  <c r="H46" i="4"/>
  <c r="F41" i="4"/>
  <c r="X98" i="1"/>
  <c r="L57" i="2"/>
  <c r="C6" i="4"/>
  <c r="H57" i="2"/>
  <c r="H48" i="4"/>
  <c r="E98" i="1"/>
  <c r="J30" i="1"/>
  <c r="J98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90" i="1" s="1"/>
  <c r="F91" i="1" s="1"/>
  <c r="F92" i="1" s="1"/>
  <c r="F93" i="1" s="1"/>
  <c r="F94" i="1" s="1"/>
  <c r="F95" i="1" s="1"/>
  <c r="F96" i="1" s="1"/>
  <c r="H33" i="4" s="1"/>
  <c r="H98" i="1"/>
  <c r="I40" i="5" l="1"/>
  <c r="C13" i="4"/>
  <c r="D41" i="4" s="1"/>
  <c r="D49" i="4" s="1"/>
  <c r="H13" i="4"/>
  <c r="E41" i="4" s="1"/>
  <c r="E49" i="4" s="1"/>
  <c r="H42" i="4"/>
  <c r="C36" i="4"/>
  <c r="M57" i="2"/>
  <c r="D14" i="4" l="1"/>
  <c r="H47" i="4"/>
  <c r="C24" i="4"/>
  <c r="C25" i="4" s="1"/>
  <c r="F49" i="4"/>
  <c r="G49" i="4" l="1"/>
  <c r="H49" i="4" s="1"/>
  <c r="I55" i="4" s="1"/>
  <c r="H41" i="4"/>
  <c r="L21" i="3"/>
  <c r="G32" i="3"/>
  <c r="A51" i="4" s="1"/>
</calcChain>
</file>

<file path=xl/sharedStrings.xml><?xml version="1.0" encoding="utf-8"?>
<sst xmlns="http://schemas.openxmlformats.org/spreadsheetml/2006/main" count="644" uniqueCount="292">
  <si>
    <t>Inward Payment</t>
  </si>
  <si>
    <t>Opening Balance</t>
  </si>
  <si>
    <t>Opening</t>
  </si>
  <si>
    <t>CHIPPERFIELD D CHIPSLODGEPAYMENTS</t>
  </si>
  <si>
    <t>Date</t>
  </si>
  <si>
    <t>Details</t>
  </si>
  <si>
    <t>Transaction Type</t>
  </si>
  <si>
    <t>In</t>
  </si>
  <si>
    <t>Out</t>
  </si>
  <si>
    <t>Balance</t>
  </si>
  <si>
    <t>Subs</t>
  </si>
  <si>
    <t>Dining</t>
  </si>
  <si>
    <t>Total</t>
  </si>
  <si>
    <t>Cross-Check</t>
  </si>
  <si>
    <t>Pre-Subs</t>
  </si>
  <si>
    <t>Pre-Dining</t>
  </si>
  <si>
    <t>Donations</t>
  </si>
  <si>
    <t>PGLE</t>
  </si>
  <si>
    <t>UGLE</t>
  </si>
  <si>
    <t>Orsett</t>
  </si>
  <si>
    <t>WoolMkt</t>
  </si>
  <si>
    <t>TOTALS</t>
  </si>
  <si>
    <t>LOI</t>
  </si>
  <si>
    <t>Gavel</t>
  </si>
  <si>
    <t>Raffle</t>
  </si>
  <si>
    <t>Copper Pot</t>
  </si>
  <si>
    <t>Member</t>
  </si>
  <si>
    <t>Awcock,David</t>
  </si>
  <si>
    <t>Awcock,Michael</t>
  </si>
  <si>
    <t xml:space="preserve">Bean,Peter </t>
  </si>
  <si>
    <t>Chipperfield,David</t>
  </si>
  <si>
    <t>Coleridge,Ashley</t>
  </si>
  <si>
    <t>Coleridge-Humphries,Connor</t>
  </si>
  <si>
    <t>Connolly,P.J</t>
  </si>
  <si>
    <t>Featherstone,Allen</t>
  </si>
  <si>
    <t>Fulford,Len</t>
  </si>
  <si>
    <t>Gillam,Mark</t>
  </si>
  <si>
    <t>Hercules-Mason,Pascoe</t>
  </si>
  <si>
    <t xml:space="preserve">Higgins, Nicolas </t>
  </si>
  <si>
    <t>Holloway,Ian</t>
  </si>
  <si>
    <t>James,Ian</t>
  </si>
  <si>
    <t>Marshall,Arthur</t>
  </si>
  <si>
    <t>Moss,Peter</t>
  </si>
  <si>
    <t>Mullender,Ray</t>
  </si>
  <si>
    <t xml:space="preserve">O’Brien,Keith </t>
  </si>
  <si>
    <t>Peacock,Steve</t>
  </si>
  <si>
    <t>Petchey,Ken</t>
  </si>
  <si>
    <t xml:space="preserve">Phillips,Andrew </t>
  </si>
  <si>
    <t>Porter,John</t>
  </si>
  <si>
    <t>South,Ray</t>
  </si>
  <si>
    <t>Stock,Stephen</t>
  </si>
  <si>
    <t>Stribling,Martyn</t>
  </si>
  <si>
    <t>Walden,Connor</t>
  </si>
  <si>
    <t>Walden,Mark</t>
  </si>
  <si>
    <t>Withey, Graham</t>
  </si>
  <si>
    <t>Jess, Matthew</t>
  </si>
  <si>
    <t>Matondo, Herve</t>
  </si>
  <si>
    <t>Pavey, Shaun</t>
  </si>
  <si>
    <t>Tyler</t>
  </si>
  <si>
    <t>Name</t>
  </si>
  <si>
    <t>SEPTEMBER MEETING</t>
  </si>
  <si>
    <t>*Visitor</t>
  </si>
  <si>
    <t>A.Court</t>
  </si>
  <si>
    <t>IN</t>
  </si>
  <si>
    <t>OUT</t>
  </si>
  <si>
    <t>Item</t>
  </si>
  <si>
    <t>Collection</t>
  </si>
  <si>
    <t>Keith Purcell</t>
  </si>
  <si>
    <t>NOVEMBER MEETING</t>
  </si>
  <si>
    <t>JANUARY MEETING</t>
  </si>
  <si>
    <t>MARCH MEETING</t>
  </si>
  <si>
    <t>MAY MEETING</t>
  </si>
  <si>
    <t>Guest of Andrew</t>
  </si>
  <si>
    <t>Guest of Nick</t>
  </si>
  <si>
    <t>Guest of Keith</t>
  </si>
  <si>
    <t>Guest of Peter</t>
  </si>
  <si>
    <t>Cash</t>
  </si>
  <si>
    <t>Caterer</t>
  </si>
  <si>
    <t>Initiation</t>
  </si>
  <si>
    <t>Almoner</t>
  </si>
  <si>
    <t>Expenses</t>
  </si>
  <si>
    <t>Peter Moss</t>
  </si>
  <si>
    <t>Widows</t>
  </si>
  <si>
    <t>Relief Chest</t>
  </si>
  <si>
    <t>Guest</t>
  </si>
  <si>
    <t>SumUp</t>
  </si>
  <si>
    <t>STANFORD-LE-HOPE LODGE NO: 5217</t>
  </si>
  <si>
    <t>GENERAL FUND ACCOUNTS</t>
  </si>
  <si>
    <t>INCOME</t>
  </si>
  <si>
    <t xml:space="preserve">          £</t>
  </si>
  <si>
    <t>EXPENDITURE</t>
  </si>
  <si>
    <t xml:space="preserve">Subscriptions                                    </t>
  </si>
  <si>
    <t>Dining Fees</t>
  </si>
  <si>
    <t>Chapter C of I Rent</t>
  </si>
  <si>
    <t>L of I Rent Woolmarket</t>
  </si>
  <si>
    <t>Orsett Masonic Hall rent</t>
  </si>
  <si>
    <t>Raffles</t>
  </si>
  <si>
    <t>Gavels</t>
  </si>
  <si>
    <t>Charity Donations</t>
  </si>
  <si>
    <t>Catering</t>
  </si>
  <si>
    <t>Charity donations from Lodge Funds</t>
  </si>
  <si>
    <t>Tylers Fee</t>
  </si>
  <si>
    <t>Plus receipts</t>
  </si>
  <si>
    <t>Less payments</t>
  </si>
  <si>
    <t>BENEVOLENT FUND</t>
  </si>
  <si>
    <t>Widows Christmas gifts</t>
  </si>
  <si>
    <t>Almoner's expenses</t>
  </si>
  <si>
    <t>BALANCE SHEET</t>
  </si>
  <si>
    <t>The Lodge currently holds shares to the value of £733 in Orsett Masonic Hall Ltd</t>
  </si>
  <si>
    <t>MAIN ACCOUNT</t>
  </si>
  <si>
    <t>CHARITY ACCOUNT</t>
  </si>
  <si>
    <t>GLASGOW/FRANK</t>
  </si>
  <si>
    <t>Lodge of Instruction</t>
  </si>
  <si>
    <t>CENTENARY FUND</t>
  </si>
  <si>
    <t>Pre-Paid Subs</t>
  </si>
  <si>
    <t>Pre-Paid Dining</t>
  </si>
  <si>
    <t>Surplus / Deficit</t>
  </si>
  <si>
    <t>Initiation Fees</t>
  </si>
  <si>
    <t>ACCOUNT</t>
  </si>
  <si>
    <t>OPENING</t>
  </si>
  <si>
    <t>EXPENSE</t>
  </si>
  <si>
    <t>CLOSING</t>
  </si>
  <si>
    <t>Subs Due</t>
  </si>
  <si>
    <t>Dining Due</t>
  </si>
  <si>
    <t>Subs Paid</t>
  </si>
  <si>
    <t>Dining Paid</t>
  </si>
  <si>
    <t>Member Type</t>
  </si>
  <si>
    <t>FULL</t>
  </si>
  <si>
    <t>ND</t>
  </si>
  <si>
    <t>SEC</t>
  </si>
  <si>
    <t>PAYG</t>
  </si>
  <si>
    <t>HON</t>
  </si>
  <si>
    <t>OWED</t>
  </si>
  <si>
    <t>Comments</t>
  </si>
  <si>
    <t>PP Subs</t>
  </si>
  <si>
    <t>PP Dining</t>
  </si>
  <si>
    <t>EXPENSES</t>
  </si>
  <si>
    <t>LODGE OF INSTRUCTION</t>
  </si>
  <si>
    <t>Collections</t>
  </si>
  <si>
    <t>Bank Reconciliation</t>
  </si>
  <si>
    <t>Notes</t>
  </si>
  <si>
    <t>Visitor</t>
  </si>
  <si>
    <t>Relief</t>
  </si>
  <si>
    <t>XFR IN</t>
  </si>
  <si>
    <t>XFR OUT</t>
  </si>
  <si>
    <t>TREASURERS REPORT</t>
  </si>
  <si>
    <t>Treasurer</t>
  </si>
  <si>
    <t>Auditor</t>
  </si>
  <si>
    <t>W Bro M Walden</t>
  </si>
  <si>
    <t>W Bro S. Stock</t>
  </si>
  <si>
    <t>W Bro Will Fulford</t>
  </si>
  <si>
    <t>Sep</t>
  </si>
  <si>
    <t>Visitors</t>
  </si>
  <si>
    <t>Nov</t>
  </si>
  <si>
    <t>Jan</t>
  </si>
  <si>
    <t>Mar</t>
  </si>
  <si>
    <t>May</t>
  </si>
  <si>
    <t>VIPS</t>
  </si>
  <si>
    <t>Type</t>
  </si>
  <si>
    <t>Totals</t>
  </si>
  <si>
    <t>DINED</t>
  </si>
  <si>
    <t>SHOULD</t>
  </si>
  <si>
    <t>Dining costs</t>
  </si>
  <si>
    <t xml:space="preserve">@£30 p/h </t>
  </si>
  <si>
    <t>@£25 p/h always fixed-Sec</t>
  </si>
  <si>
    <t>Secretary</t>
  </si>
  <si>
    <t>#Full Members-Sec @£25</t>
  </si>
  <si>
    <t>#Visiting ND Members</t>
  </si>
  <si>
    <t>#Visiting PAYG Members</t>
  </si>
  <si>
    <t>Total Fees Generated</t>
  </si>
  <si>
    <t xml:space="preserve">Meals Provided </t>
  </si>
  <si>
    <t>Costs not covered</t>
  </si>
  <si>
    <t>Members</t>
  </si>
  <si>
    <t>which implies @28 p/h</t>
  </si>
  <si>
    <t>WALDEN M VA Mark Walden Subs</t>
  </si>
  <si>
    <t>Current account balance 01/08/2025</t>
  </si>
  <si>
    <t>Current account balance 31/07/2026</t>
  </si>
  <si>
    <t>STATEMENT OF ACCOUNTS FOR THE YEAR 2025-2026</t>
  </si>
  <si>
    <t>MR S STOCk</t>
  </si>
  <si>
    <t>John Porter Arrears from 2024/25</t>
  </si>
  <si>
    <t>Outward Payment</t>
  </si>
  <si>
    <t>Arrears from last year, nothing owing now</t>
  </si>
  <si>
    <t>Connor Waldon</t>
  </si>
  <si>
    <t>SUBSCRIBING MEMBERS</t>
  </si>
  <si>
    <t>FULL Members</t>
  </si>
  <si>
    <t>Alan Featherstone</t>
  </si>
  <si>
    <t>Will Fulford</t>
  </si>
  <si>
    <t>Misc</t>
  </si>
  <si>
    <t>Expense</t>
  </si>
  <si>
    <t>New Subs will need to be from next year</t>
  </si>
  <si>
    <t>Higgins</t>
  </si>
  <si>
    <t>Resigned</t>
  </si>
  <si>
    <t>Croucher, Alan</t>
  </si>
  <si>
    <t>RESIGNED</t>
  </si>
  <si>
    <t>Secretary Subs</t>
  </si>
  <si>
    <t>Vip Meals</t>
  </si>
  <si>
    <t>DECEASED</t>
  </si>
  <si>
    <t>STOCK S + DT WITHEY SUBS</t>
  </si>
  <si>
    <t>THE WOOLMARKET SLH Lodge</t>
  </si>
  <si>
    <t>Outward Faster Payment</t>
  </si>
  <si>
    <t>AWCOCK D+G D A AWCOCK SUBS</t>
  </si>
  <si>
    <t>Raymond Mullender LODGE FEES RAY M</t>
  </si>
  <si>
    <t>Raymond Mullender LODGE DINE RAY M</t>
  </si>
  <si>
    <t>M Jess LODGE FEE 2025</t>
  </si>
  <si>
    <t>STEVEN PEACOCK PEACOCK</t>
  </si>
  <si>
    <t>STOCK S + DT 2025-SEP-DINTYL</t>
  </si>
  <si>
    <t>STOCK S + DT 2025-SEP-GAVEL</t>
  </si>
  <si>
    <t>AFORDERBLE CATERING SLH LODGE 5217</t>
  </si>
  <si>
    <t>STOCK S + DT 2025-SEP RAFFFLE</t>
  </si>
  <si>
    <t>COLERIDGE-HUMPHR FEES</t>
  </si>
  <si>
    <t>KASTHURI R Kasthuri ( Dining)</t>
  </si>
  <si>
    <t>SumUp Payments Account MV4 PID938671</t>
  </si>
  <si>
    <t>MARSHALL ARTHUR MARSHALL JEANETTE ARTHUR MARSHALL</t>
  </si>
  <si>
    <t>AWCOCK D LOFI 7TH OCT GAVEL</t>
  </si>
  <si>
    <t>STRIBLING ML M Stribling</t>
  </si>
  <si>
    <t>Ashley Coleridge IAN JAMES</t>
  </si>
  <si>
    <t>O BRIEN KDJI OBRIEN SUBS</t>
  </si>
  <si>
    <t>AWCOCK D+G C OF I RENT 2 YRS</t>
  </si>
  <si>
    <t>AWCOCK D S JOYCE DINING NOV</t>
  </si>
  <si>
    <t>PETER MORRIS P Morris dining</t>
  </si>
  <si>
    <t>Ashley Coleridge LOI</t>
  </si>
  <si>
    <t>Nicholas HIGGINS Nick Higgins</t>
  </si>
  <si>
    <t>DARREN BARTLETT Bartlett dining</t>
  </si>
  <si>
    <t>STOCK S + DT NOV-DIN-TYL-ALM</t>
  </si>
  <si>
    <t>STOCK S + DT NOV-GAVEL</t>
  </si>
  <si>
    <t>AWCOCK D LOI 25TH NOV GAVEL</t>
  </si>
  <si>
    <t>AWCOCK D LOI 2ND DEC GAVEL</t>
  </si>
  <si>
    <t>M Jess dinning guest Neil</t>
  </si>
  <si>
    <t>Cheque</t>
  </si>
  <si>
    <t>THOMS CH THOMS</t>
  </si>
  <si>
    <t>Chapter LOI</t>
  </si>
  <si>
    <t>STOCK S + DT JAN GAVEL</t>
  </si>
  <si>
    <t>STOCK S + DT JAN DIN-TYLER</t>
  </si>
  <si>
    <t>WOODS PD P.D.WOODS</t>
  </si>
  <si>
    <t>Bradley Brown Bradley Brown</t>
  </si>
  <si>
    <t>FERNEE J CP Fernee</t>
  </si>
  <si>
    <t>Bradley Brown</t>
  </si>
  <si>
    <t>D.Bailey</t>
  </si>
  <si>
    <t>A.Croucher</t>
  </si>
  <si>
    <t>A.Macdonalds</t>
  </si>
  <si>
    <t>C.Aiden</t>
  </si>
  <si>
    <t>Lee Taylor</t>
  </si>
  <si>
    <t xml:space="preserve">Reminder sent 4th Jan </t>
  </si>
  <si>
    <t xml:space="preserve">Write off of course </t>
  </si>
  <si>
    <t xml:space="preserve">Resigning - write off </t>
  </si>
  <si>
    <t>M Gillam Mark Gillam</t>
  </si>
  <si>
    <t>ANDREW PHILLIPS ANDREW PHILLIPS</t>
  </si>
  <si>
    <t>L+G MOSS SUBS</t>
  </si>
  <si>
    <t xml:space="preserve">Spoke to his sone, he has dementia, so this money is lost </t>
  </si>
  <si>
    <t>Orsett Masonic Hall</t>
  </si>
  <si>
    <t>Parkrun</t>
  </si>
  <si>
    <t>EXCLUDE</t>
  </si>
  <si>
    <t>Last Year</t>
  </si>
  <si>
    <t xml:space="preserve">UGLE </t>
  </si>
  <si>
    <t>UGLE Dues</t>
  </si>
  <si>
    <t>UGLE Grand Charity</t>
  </si>
  <si>
    <t>PGL</t>
  </si>
  <si>
    <t>PGL Dues</t>
  </si>
  <si>
    <t>PGL Charity</t>
  </si>
  <si>
    <t>For 25/26</t>
  </si>
  <si>
    <t>Meetings</t>
  </si>
  <si>
    <t>Unit price</t>
  </si>
  <si>
    <t>For 2026-27</t>
  </si>
  <si>
    <t>Members will be</t>
  </si>
  <si>
    <t xml:space="preserve">Initiates </t>
  </si>
  <si>
    <t xml:space="preserve">Total Members </t>
  </si>
  <si>
    <t>Estimated increase in UGLE/PGL/Orsett</t>
  </si>
  <si>
    <t>Total UGLE</t>
  </si>
  <si>
    <t>Total PGL</t>
  </si>
  <si>
    <t>Total Orsett</t>
  </si>
  <si>
    <t>UGLE Charity</t>
  </si>
  <si>
    <r>
      <rPr>
        <b/>
        <sz val="11"/>
        <color rgb="FFFF0000"/>
        <rFont val="Calibri"/>
        <family val="2"/>
        <scheme val="minor"/>
      </rPr>
      <t xml:space="preserve">DINING </t>
    </r>
    <r>
      <rPr>
        <sz val="11"/>
        <color rgb="FFFF0000"/>
        <rFont val="Calibri"/>
        <family val="2"/>
        <scheme val="minor"/>
      </rPr>
      <t xml:space="preserve">
Our dining account is running behind again, as our FULL members are paying less than the price of the meal. 
</t>
    </r>
    <r>
      <rPr>
        <b/>
        <sz val="11"/>
        <color rgb="FFFF0000"/>
        <rFont val="Calibri"/>
        <family val="2"/>
        <scheme val="minor"/>
      </rPr>
      <t xml:space="preserve">OPERATING COSTS
</t>
    </r>
    <r>
      <rPr>
        <sz val="11"/>
        <color rgb="FFFF0000"/>
        <rFont val="Calibri"/>
        <family val="2"/>
        <scheme val="minor"/>
      </rPr>
      <t xml:space="preserve">Our operating costs also took a hit this year due to arrears, resignations with unpaid dues and losing one member to the Grand Lodge above. 
</t>
    </r>
  </si>
  <si>
    <t>AWCOCK D LOI 20TH JAN GAVEL</t>
  </si>
  <si>
    <t>Account Maintenance Fee</t>
  </si>
  <si>
    <t>AWCOCK D LOI 17TH FEB GAVEL</t>
  </si>
  <si>
    <t>AWCOCK D LOI 24TH FEB GAVEL</t>
  </si>
  <si>
    <t>STEVEN PEACOCK Peacock</t>
  </si>
  <si>
    <t>L+G MOSS DINNING</t>
  </si>
  <si>
    <t>AWCOCK D LOFI 3RD MAR GAVEL</t>
  </si>
  <si>
    <t>LOVELOCK PL Lovelock dining</t>
  </si>
  <si>
    <t>KENNETH TURNER Dining</t>
  </si>
  <si>
    <t>PHILLIP WALKER Phil Walker</t>
  </si>
  <si>
    <t>POOLE MICHAEL Poole Dining</t>
  </si>
  <si>
    <t>M Whitehead M whitehead dining</t>
  </si>
  <si>
    <t>M Gillam MARK GILLAM DINE</t>
  </si>
  <si>
    <t>Bank Charges</t>
  </si>
  <si>
    <t xml:space="preserve">Bank Charges </t>
  </si>
  <si>
    <t>Adrian Court</t>
  </si>
  <si>
    <t>Clive Reeves</t>
  </si>
  <si>
    <t>Outward</t>
  </si>
  <si>
    <t>SUBs IAN JAMES</t>
  </si>
  <si>
    <t xml:space="preserve">Dining minus Tyler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</si>
</sst>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&quot;£&quot;#,##0.00_);[Red]\(&quot;£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5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>
      <alignment vertical="center"/>
    </xf>
    <xf numFmtId="0" fontId="17" fillId="8" borderId="0" applyNumberFormat="0" applyBorder="0" applyAlignment="0" applyProtection="0"/>
  </cellStyleXfs>
  <cellXfs count="84">
    <xf numFmtId="0" fontId="0" fillId="0" borderId="0" xfId="0"/>
    <xf numFmtId="14" fontId="0" fillId="2" borderId="0" xfId="0" applyNumberFormat="1" applyFill="1" applyAlignment="1">
      <alignment horizontal="center"/>
    </xf>
    <xf numFmtId="0" fontId="0" fillId="2" borderId="0" xfId="0" applyFill="1"/>
    <xf numFmtId="43" fontId="0" fillId="2" borderId="0" xfId="1" applyFont="1" applyFill="1"/>
    <xf numFmtId="14" fontId="0" fillId="3" borderId="0" xfId="0" applyNumberFormat="1" applyFill="1" applyAlignment="1">
      <alignment horizontal="center"/>
    </xf>
    <xf numFmtId="0" fontId="0" fillId="3" borderId="0" xfId="0" applyFill="1"/>
    <xf numFmtId="43" fontId="0" fillId="3" borderId="0" xfId="1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3" fontId="2" fillId="0" borderId="0" xfId="1" applyFont="1"/>
    <xf numFmtId="43" fontId="0" fillId="0" borderId="0" xfId="0" applyNumberFormat="1"/>
    <xf numFmtId="43" fontId="2" fillId="5" borderId="0" xfId="1" applyFont="1" applyFill="1"/>
    <xf numFmtId="43" fontId="0" fillId="5" borderId="0" xfId="0" applyNumberFormat="1" applyFill="1"/>
    <xf numFmtId="0" fontId="0" fillId="5" borderId="0" xfId="0" applyFill="1"/>
    <xf numFmtId="43" fontId="0" fillId="0" borderId="0" xfId="1" applyFont="1"/>
    <xf numFmtId="43" fontId="0" fillId="4" borderId="0" xfId="1" applyFont="1" applyFill="1"/>
    <xf numFmtId="0" fontId="2" fillId="0" borderId="1" xfId="0" applyFont="1" applyBorder="1"/>
    <xf numFmtId="0" fontId="2" fillId="5" borderId="1" xfId="0" applyFont="1" applyFill="1" applyBorder="1"/>
    <xf numFmtId="43" fontId="2" fillId="0" borderId="1" xfId="1" applyFont="1" applyBorder="1"/>
    <xf numFmtId="43" fontId="2" fillId="5" borderId="0" xfId="0" applyNumberFormat="1" applyFont="1" applyFill="1"/>
    <xf numFmtId="43" fontId="2" fillId="0" borderId="0" xfId="0" applyNumberFormat="1" applyFont="1"/>
    <xf numFmtId="0" fontId="0" fillId="0" borderId="0" xfId="0" applyAlignment="1">
      <alignment horizontal="center"/>
    </xf>
    <xf numFmtId="0" fontId="0" fillId="6" borderId="0" xfId="0" applyFill="1"/>
    <xf numFmtId="43" fontId="0" fillId="0" borderId="0" xfId="1" applyFont="1" applyAlignment="1">
      <alignment horizontal="center"/>
    </xf>
    <xf numFmtId="43" fontId="0" fillId="7" borderId="0" xfId="1" applyFont="1" applyFill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43" fontId="2" fillId="0" borderId="1" xfId="1" applyFont="1" applyBorder="1" applyAlignment="1">
      <alignment horizontal="center"/>
    </xf>
    <xf numFmtId="0" fontId="5" fillId="0" borderId="0" xfId="2" applyFont="1" applyAlignment="1">
      <alignment horizontal="center"/>
    </xf>
    <xf numFmtId="43" fontId="2" fillId="0" borderId="1" xfId="0" applyNumberFormat="1" applyFont="1" applyBorder="1"/>
    <xf numFmtId="43" fontId="7" fillId="0" borderId="0" xfId="0" applyNumberFormat="1" applyFont="1"/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164" fontId="0" fillId="5" borderId="0" xfId="1" applyNumberFormat="1" applyFont="1" applyFill="1" applyAlignment="1">
      <alignment horizontal="center"/>
    </xf>
    <xf numFmtId="0" fontId="8" fillId="0" borderId="0" xfId="0" applyFont="1"/>
    <xf numFmtId="164" fontId="0" fillId="0" borderId="0" xfId="1" quotePrefix="1" applyNumberFormat="1" applyFont="1"/>
    <xf numFmtId="0" fontId="7" fillId="0" borderId="0" xfId="0" applyFont="1"/>
    <xf numFmtId="43" fontId="8" fillId="0" borderId="0" xfId="0" applyNumberFormat="1" applyFont="1"/>
    <xf numFmtId="43" fontId="9" fillId="0" borderId="0" xfId="1" applyFont="1"/>
    <xf numFmtId="43" fontId="9" fillId="5" borderId="0" xfId="1" applyFont="1" applyFill="1"/>
    <xf numFmtId="43" fontId="9" fillId="0" borderId="0" xfId="1" applyFont="1" applyAlignment="1">
      <alignment horizontal="center"/>
    </xf>
    <xf numFmtId="43" fontId="0" fillId="4" borderId="0" xfId="1" applyFont="1" applyFill="1" applyAlignment="1">
      <alignment horizontal="center"/>
    </xf>
    <xf numFmtId="43" fontId="10" fillId="0" borderId="0" xfId="1" applyFont="1"/>
    <xf numFmtId="0" fontId="12" fillId="0" borderId="0" xfId="0" applyFont="1"/>
    <xf numFmtId="0" fontId="12" fillId="0" borderId="0" xfId="0" applyFont="1" applyAlignment="1">
      <alignment horizontal="center"/>
    </xf>
    <xf numFmtId="0" fontId="11" fillId="0" borderId="0" xfId="0" applyFont="1"/>
    <xf numFmtId="43" fontId="11" fillId="0" borderId="0" xfId="1" applyFont="1"/>
    <xf numFmtId="43" fontId="0" fillId="5" borderId="0" xfId="1" applyFont="1" applyFill="1" applyAlignment="1">
      <alignment horizontal="center"/>
    </xf>
    <xf numFmtId="43" fontId="7" fillId="5" borderId="0" xfId="1" applyFont="1" applyFill="1" applyAlignment="1">
      <alignment horizontal="center"/>
    </xf>
    <xf numFmtId="43" fontId="12" fillId="0" borderId="0" xfId="1" applyFont="1"/>
    <xf numFmtId="43" fontId="11" fillId="0" borderId="0" xfId="1" applyFont="1" applyAlignment="1">
      <alignment horizontal="center"/>
    </xf>
    <xf numFmtId="0" fontId="13" fillId="0" borderId="0" xfId="0" applyFont="1"/>
    <xf numFmtId="0" fontId="15" fillId="0" borderId="0" xfId="0" applyFont="1"/>
    <xf numFmtId="0" fontId="0" fillId="0" borderId="0" xfId="0" quotePrefix="1"/>
    <xf numFmtId="0" fontId="15" fillId="0" borderId="0" xfId="0" applyFont="1" applyAlignment="1">
      <alignment horizontal="center"/>
    </xf>
    <xf numFmtId="164" fontId="15" fillId="0" borderId="0" xfId="1" applyNumberFormat="1" applyFont="1"/>
    <xf numFmtId="164" fontId="0" fillId="0" borderId="0" xfId="0" applyNumberFormat="1"/>
    <xf numFmtId="0" fontId="17" fillId="8" borderId="0" xfId="3"/>
    <xf numFmtId="164" fontId="17" fillId="8" borderId="0" xfId="3" applyNumberFormat="1"/>
    <xf numFmtId="164" fontId="0" fillId="0" borderId="0" xfId="0" applyNumberFormat="1" applyAlignment="1">
      <alignment horizontal="center"/>
    </xf>
    <xf numFmtId="43" fontId="2" fillId="2" borderId="0" xfId="1" applyFont="1" applyFill="1"/>
    <xf numFmtId="43" fontId="1" fillId="0" borderId="0" xfId="1" applyFont="1"/>
    <xf numFmtId="43" fontId="15" fillId="0" borderId="0" xfId="1" applyFont="1"/>
    <xf numFmtId="0" fontId="15" fillId="2" borderId="0" xfId="0" applyFont="1" applyFill="1"/>
    <xf numFmtId="0" fontId="16" fillId="0" borderId="0" xfId="0" applyFont="1"/>
    <xf numFmtId="164" fontId="15" fillId="0" borderId="0" xfId="1" applyNumberFormat="1" applyFont="1" applyAlignment="1">
      <alignment horizontal="center"/>
    </xf>
    <xf numFmtId="43" fontId="15" fillId="5" borderId="0" xfId="1" applyFont="1" applyFill="1" applyAlignment="1">
      <alignment horizontal="center"/>
    </xf>
    <xf numFmtId="165" fontId="6" fillId="9" borderId="0" xfId="2" applyNumberFormat="1" applyFont="1" applyFill="1" applyAlignment="1">
      <alignment horizontal="center"/>
    </xf>
    <xf numFmtId="0" fontId="0" fillId="0" borderId="0" xfId="0" applyAlignment="1">
      <alignment horizontal="left" indent="1"/>
    </xf>
    <xf numFmtId="9" fontId="0" fillId="0" borderId="0" xfId="0" applyNumberFormat="1"/>
    <xf numFmtId="164" fontId="2" fillId="0" borderId="0" xfId="1" applyNumberFormat="1" applyFont="1"/>
    <xf numFmtId="0" fontId="0" fillId="0" borderId="0" xfId="0" applyAlignment="1">
      <alignment horizontal="left"/>
    </xf>
    <xf numFmtId="0" fontId="0" fillId="0" borderId="2" xfId="0" applyBorder="1"/>
    <xf numFmtId="164" fontId="2" fillId="0" borderId="2" xfId="1" applyNumberFormat="1" applyFont="1" applyBorder="1"/>
    <xf numFmtId="43" fontId="15" fillId="0" borderId="0" xfId="1" applyFont="1" applyAlignment="1">
      <alignment horizontal="center"/>
    </xf>
    <xf numFmtId="164" fontId="15" fillId="0" borderId="0" xfId="1" applyNumberFormat="1" applyFont="1" applyAlignment="1">
      <alignment horizontal="left"/>
    </xf>
    <xf numFmtId="0" fontId="18" fillId="0" borderId="0" xfId="0" applyFont="1"/>
    <xf numFmtId="0" fontId="8" fillId="0" borderId="2" xfId="0" applyFont="1" applyBorder="1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1" fillId="0" borderId="0" xfId="1" applyFont="1" applyAlignment="1">
      <alignment horizontal="center"/>
    </xf>
  </cellXfs>
  <cellStyles count="4">
    <cellStyle name="Bad" xfId="3" builtinId="27"/>
    <cellStyle name="Comma" xfId="1" builtinId="3"/>
    <cellStyle name="Normal" xfId="0" builtinId="0"/>
    <cellStyle name="Normal 2" xfId="2" xr:uid="{21CBA8EC-F3A7-4085-9071-8F3511B488DB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628650</xdr:colOff>
      <xdr:row>41</xdr:row>
      <xdr:rowOff>66675</xdr:rowOff>
    </xdr:from>
    <xdr:to>
      <xdr:col>6</xdr:col>
      <xdr:colOff>333375</xdr:colOff>
      <xdr:row>44</xdr:row>
      <xdr:rowOff>57150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99D529F-1842-78BB-14B2-41FD6EA69572}"/>
            </a:ext>
          </a:extLst>
        </xdr:cNvPr>
        <xdr:cNvCxnSpPr/>
      </xdr:nvCxnSpPr>
      <xdr:spPr>
        <a:xfrm flipH="1" flipV="1">
          <a:off x="5772150" y="10925175"/>
          <a:ext cx="447675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628650</xdr:colOff>
      <xdr:row>41</xdr:row>
      <xdr:rowOff>95250</xdr:rowOff>
    </xdr:from>
    <xdr:to>
      <xdr:col>6</xdr:col>
      <xdr:colOff>333375</xdr:colOff>
      <xdr:row>45</xdr:row>
      <xdr:rowOff>171450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EDE4404-4320-4603-9279-4B6E3E8568E1}"/>
            </a:ext>
          </a:extLst>
        </xdr:cNvPr>
        <xdr:cNvCxnSpPr/>
      </xdr:nvCxnSpPr>
      <xdr:spPr>
        <a:xfrm flipH="1" flipV="1">
          <a:off x="5772150" y="10953750"/>
          <a:ext cx="447675" cy="838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723900</xdr:colOff>
      <xdr:row>42</xdr:row>
      <xdr:rowOff>165100</xdr:rowOff>
    </xdr:from>
    <xdr:to>
      <xdr:col>6</xdr:col>
      <xdr:colOff>355600</xdr:colOff>
      <xdr:row>47</xdr:row>
      <xdr:rowOff>57150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BC64CF37-133D-43DA-9598-92824536A85A}"/>
            </a:ext>
          </a:extLst>
        </xdr:cNvPr>
        <xdr:cNvCxnSpPr/>
      </xdr:nvCxnSpPr>
      <xdr:spPr>
        <a:xfrm flipH="1">
          <a:off x="6108700" y="8426450"/>
          <a:ext cx="412750" cy="812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E765-18E3-4B6D-BC53-91B7E0164D0E}">
  <dimension ref="A1:AD76"/>
  <sheetViews>
    <sheetView tabSelected="1" zoomScaleNormal="100" workbookViewId="0">
      <selection activeCell="G13" sqref="G13"/>
    </sheetView>
  </sheetViews>
  <sheetFormatPr defaultRowHeight="14.5" x14ac:dyDescent="0.35"/>
  <cols>
    <col min="1" max="1" width="18.26953125" customWidth="1"/>
    <col min="2" max="2" width="19.26953125" customWidth="1"/>
    <col min="3" max="3" width="10.81640625" customWidth="1"/>
    <col min="4" max="4" width="17.7265625" customWidth="1"/>
    <col min="5" max="5" width="11" customWidth="1"/>
    <col min="6" max="6" width="11.1796875" customWidth="1"/>
    <col min="7" max="7" width="11.54296875" customWidth="1"/>
    <col min="8" max="8" width="11.1796875" bestFit="1" customWidth="1"/>
    <col min="9" max="9" width="12" customWidth="1"/>
    <col min="10" max="10" width="24.90625" customWidth="1"/>
    <col min="11" max="12" width="12" customWidth="1"/>
    <col min="13" max="13" width="6.1796875" customWidth="1"/>
    <col min="14" max="14" width="12" customWidth="1"/>
    <col min="15" max="15" width="5.81640625" bestFit="1" customWidth="1"/>
    <col min="16" max="16" width="4.453125" customWidth="1"/>
    <col min="17" max="17" width="13" bestFit="1" customWidth="1"/>
    <col min="18" max="18" width="5.81640625" bestFit="1" customWidth="1"/>
    <col min="19" max="19" width="6.6328125" customWidth="1"/>
    <col min="20" max="20" width="19.36328125" customWidth="1"/>
    <col min="21" max="22" width="6.90625" customWidth="1"/>
    <col min="23" max="23" width="19.36328125" customWidth="1"/>
    <col min="24" max="24" width="6.90625" customWidth="1"/>
    <col min="25" max="25" width="5" customWidth="1"/>
    <col min="26" max="26" width="26.26953125" customWidth="1"/>
    <col min="27" max="27" width="7" bestFit="1" customWidth="1"/>
    <col min="28" max="28" width="9.54296875" customWidth="1"/>
    <col min="29" max="29" width="11.7265625" customWidth="1"/>
  </cols>
  <sheetData>
    <row r="1" spans="1:30" ht="21" x14ac:dyDescent="0.5">
      <c r="A1" s="81" t="s">
        <v>86</v>
      </c>
      <c r="B1" s="81"/>
      <c r="C1" s="81"/>
      <c r="D1" s="81"/>
      <c r="E1" s="81"/>
      <c r="F1" s="81"/>
      <c r="G1" s="81"/>
      <c r="H1" s="81"/>
    </row>
    <row r="2" spans="1:30" x14ac:dyDescent="0.35">
      <c r="A2" s="82" t="s">
        <v>177</v>
      </c>
      <c r="B2" s="82"/>
      <c r="C2" s="82"/>
      <c r="D2" s="82"/>
      <c r="E2" s="82"/>
      <c r="F2" s="82"/>
      <c r="G2" s="82"/>
      <c r="H2" s="82"/>
      <c r="J2" s="8" t="s">
        <v>262</v>
      </c>
      <c r="AC2" s="54"/>
    </row>
    <row r="3" spans="1:30" x14ac:dyDescent="0.35">
      <c r="N3" s="8" t="s">
        <v>259</v>
      </c>
      <c r="Q3" s="8" t="s">
        <v>252</v>
      </c>
    </row>
    <row r="4" spans="1:30" ht="15.5" x14ac:dyDescent="0.35">
      <c r="A4" s="8"/>
      <c r="B4" s="8"/>
      <c r="C4" s="52" t="s">
        <v>87</v>
      </c>
      <c r="E4" s="8"/>
      <c r="F4" s="8"/>
      <c r="G4" s="8"/>
      <c r="H4" s="8"/>
      <c r="J4" t="s">
        <v>263</v>
      </c>
      <c r="L4">
        <v>23</v>
      </c>
      <c r="N4" t="s">
        <v>172</v>
      </c>
      <c r="O4">
        <v>27</v>
      </c>
      <c r="Q4" t="s">
        <v>172</v>
      </c>
      <c r="R4">
        <v>31</v>
      </c>
    </row>
    <row r="5" spans="1:30" x14ac:dyDescent="0.35">
      <c r="A5" s="8" t="s">
        <v>88</v>
      </c>
      <c r="B5" s="8"/>
      <c r="C5" s="8" t="s">
        <v>89</v>
      </c>
      <c r="D5" s="8"/>
      <c r="E5" s="8" t="s">
        <v>90</v>
      </c>
      <c r="F5" s="8"/>
      <c r="G5" s="8"/>
      <c r="H5" s="8" t="s">
        <v>89</v>
      </c>
      <c r="J5" t="s">
        <v>264</v>
      </c>
      <c r="L5">
        <v>2</v>
      </c>
      <c r="N5" t="s">
        <v>253</v>
      </c>
      <c r="O5" s="8">
        <f>SUM(O6:O7)*O4</f>
        <v>2349</v>
      </c>
      <c r="Q5" t="s">
        <v>253</v>
      </c>
      <c r="R5" s="8">
        <f>SUM(R6:R7)*R4</f>
        <v>2108</v>
      </c>
      <c r="S5" s="8"/>
      <c r="V5" s="8"/>
    </row>
    <row r="6" spans="1:30" x14ac:dyDescent="0.35">
      <c r="A6" t="s">
        <v>92</v>
      </c>
      <c r="C6" s="14">
        <f>Bank!P98+Bank!Q98+Cash!D57</f>
        <v>3232.08</v>
      </c>
      <c r="E6" t="s">
        <v>99</v>
      </c>
      <c r="H6" s="14">
        <f>Bank!AF98</f>
        <v>3038</v>
      </c>
      <c r="J6" t="s">
        <v>265</v>
      </c>
      <c r="L6">
        <f>SUM(L4:L5)</f>
        <v>25</v>
      </c>
      <c r="N6" s="69" t="s">
        <v>254</v>
      </c>
      <c r="O6">
        <v>70</v>
      </c>
      <c r="Q6" s="69" t="s">
        <v>254</v>
      </c>
      <c r="R6">
        <v>51</v>
      </c>
      <c r="AB6" s="8"/>
      <c r="AC6" s="8"/>
    </row>
    <row r="7" spans="1:30" x14ac:dyDescent="0.35">
      <c r="A7" t="s">
        <v>91</v>
      </c>
      <c r="C7" s="14">
        <f>Bank!O98+Cash!C57</f>
        <v>4369.3999999999996</v>
      </c>
      <c r="E7" t="s">
        <v>18</v>
      </c>
      <c r="H7" s="14">
        <f>Bank!AB98</f>
        <v>2393.1999999999998</v>
      </c>
      <c r="N7" s="69" t="s">
        <v>255</v>
      </c>
      <c r="O7">
        <v>17</v>
      </c>
      <c r="Q7" s="69" t="s">
        <v>270</v>
      </c>
      <c r="R7">
        <v>17</v>
      </c>
      <c r="AB7" s="10"/>
      <c r="AC7" s="30"/>
      <c r="AD7" s="10"/>
    </row>
    <row r="8" spans="1:30" x14ac:dyDescent="0.35">
      <c r="A8" t="s">
        <v>117</v>
      </c>
      <c r="C8" s="10">
        <f>Bank!R98</f>
        <v>100</v>
      </c>
      <c r="E8" t="s">
        <v>17</v>
      </c>
      <c r="H8" s="14">
        <f>Bank!AC98</f>
        <v>556</v>
      </c>
      <c r="J8" t="s">
        <v>266</v>
      </c>
      <c r="L8" s="70">
        <v>1.1000000000000001</v>
      </c>
      <c r="AD8" s="10"/>
    </row>
    <row r="9" spans="1:30" x14ac:dyDescent="0.35">
      <c r="A9" t="s">
        <v>93</v>
      </c>
      <c r="C9" s="14">
        <f>SUM(Bank!V:V)</f>
        <v>422.22</v>
      </c>
      <c r="E9" t="s">
        <v>95</v>
      </c>
      <c r="H9" s="14">
        <f>Bank!AD98</f>
        <v>2160</v>
      </c>
      <c r="N9" t="s">
        <v>256</v>
      </c>
      <c r="O9" s="8">
        <f>SUM(O10:O11)*O4</f>
        <v>418.5</v>
      </c>
      <c r="Q9" t="s">
        <v>256</v>
      </c>
      <c r="R9" s="8">
        <f>SUM(R10:R11)*R4</f>
        <v>480.5</v>
      </c>
      <c r="S9" s="8"/>
      <c r="V9" s="8"/>
      <c r="AB9" s="10"/>
      <c r="AC9" s="10"/>
      <c r="AD9" s="10"/>
    </row>
    <row r="10" spans="1:30" x14ac:dyDescent="0.35">
      <c r="A10" t="s">
        <v>85</v>
      </c>
      <c r="C10" s="10">
        <f>Bank!S98</f>
        <v>0</v>
      </c>
      <c r="E10" t="s">
        <v>94</v>
      </c>
      <c r="H10" s="14">
        <f>Bank!AE98</f>
        <v>555</v>
      </c>
      <c r="J10" t="s">
        <v>18</v>
      </c>
      <c r="N10" s="69" t="s">
        <v>257</v>
      </c>
      <c r="O10">
        <v>12</v>
      </c>
      <c r="Q10" s="69" t="s">
        <v>257</v>
      </c>
      <c r="R10">
        <v>12</v>
      </c>
    </row>
    <row r="11" spans="1:30" x14ac:dyDescent="0.35">
      <c r="C11" s="14"/>
      <c r="E11" t="s">
        <v>101</v>
      </c>
      <c r="H11" s="14">
        <f>Cash!K57</f>
        <v>180</v>
      </c>
      <c r="J11" s="72" t="s">
        <v>254</v>
      </c>
      <c r="K11" s="77">
        <v>70</v>
      </c>
      <c r="L11" s="31">
        <f>K11*$L$8</f>
        <v>77</v>
      </c>
      <c r="N11" s="69" t="s">
        <v>258</v>
      </c>
      <c r="O11">
        <v>3.5</v>
      </c>
      <c r="Q11" s="69" t="s">
        <v>258</v>
      </c>
      <c r="R11">
        <v>3.5</v>
      </c>
    </row>
    <row r="12" spans="1:30" x14ac:dyDescent="0.35">
      <c r="A12" s="37"/>
      <c r="C12" s="14"/>
      <c r="E12" t="s">
        <v>286</v>
      </c>
      <c r="H12" s="14">
        <f>Bank!AG98</f>
        <v>6</v>
      </c>
      <c r="J12" s="72" t="s">
        <v>255</v>
      </c>
      <c r="K12" s="77">
        <v>17</v>
      </c>
      <c r="L12" s="31">
        <f>K12*$L$8</f>
        <v>18.700000000000003</v>
      </c>
      <c r="AB12" s="38"/>
      <c r="AC12" s="38"/>
    </row>
    <row r="13" spans="1:30" ht="15" thickBot="1" x14ac:dyDescent="0.4">
      <c r="A13" s="35" t="s">
        <v>12</v>
      </c>
      <c r="C13" s="9">
        <f>SUM(C6:C12)</f>
        <v>8123.7</v>
      </c>
      <c r="E13" s="35" t="s">
        <v>12</v>
      </c>
      <c r="H13" s="9">
        <f>SUM(H6:H12)</f>
        <v>8888.2000000000007</v>
      </c>
      <c r="J13" s="73" t="s">
        <v>267</v>
      </c>
      <c r="K13" s="78"/>
      <c r="L13" s="74">
        <f>SUM(L11:L12)*L6</f>
        <v>2392.5</v>
      </c>
      <c r="N13" t="s">
        <v>19</v>
      </c>
      <c r="O13">
        <f>O4*O14*O15</f>
        <v>2160</v>
      </c>
      <c r="Q13" t="s">
        <v>19</v>
      </c>
      <c r="AB13" s="38"/>
      <c r="AC13" s="38"/>
    </row>
    <row r="14" spans="1:30" ht="15" thickTop="1" x14ac:dyDescent="0.35">
      <c r="A14" t="s">
        <v>116</v>
      </c>
      <c r="B14" s="28"/>
      <c r="D14" s="68">
        <f>C13-H13</f>
        <v>-764.50000000000091</v>
      </c>
      <c r="K14" s="35"/>
      <c r="L14" s="71"/>
      <c r="N14" s="69" t="s">
        <v>260</v>
      </c>
      <c r="O14">
        <v>5</v>
      </c>
    </row>
    <row r="15" spans="1:30" x14ac:dyDescent="0.35">
      <c r="J15" t="s">
        <v>256</v>
      </c>
      <c r="K15" s="35"/>
      <c r="L15" s="71"/>
      <c r="N15" s="69" t="s">
        <v>261</v>
      </c>
      <c r="O15">
        <v>16</v>
      </c>
      <c r="AC15" s="10"/>
    </row>
    <row r="16" spans="1:30" ht="15.5" x14ac:dyDescent="0.35">
      <c r="A16" s="8" t="s">
        <v>88</v>
      </c>
      <c r="C16" s="52" t="s">
        <v>110</v>
      </c>
      <c r="E16" s="8" t="s">
        <v>136</v>
      </c>
      <c r="J16" s="72" t="s">
        <v>257</v>
      </c>
      <c r="K16" s="77">
        <v>12</v>
      </c>
      <c r="L16" s="31">
        <f>K16*$L$8</f>
        <v>13.200000000000001</v>
      </c>
    </row>
    <row r="17" spans="1:29" x14ac:dyDescent="0.35">
      <c r="A17" t="s">
        <v>97</v>
      </c>
      <c r="C17" s="14">
        <f>Bank!T98+Cash!E57</f>
        <v>613.15</v>
      </c>
      <c r="E17" t="s">
        <v>83</v>
      </c>
      <c r="H17" s="14">
        <f>Bank!Z98</f>
        <v>0</v>
      </c>
      <c r="J17" s="72" t="s">
        <v>258</v>
      </c>
      <c r="K17" s="77">
        <v>3.5</v>
      </c>
      <c r="L17" s="31">
        <f>K17*$L$8</f>
        <v>3.8500000000000005</v>
      </c>
    </row>
    <row r="18" spans="1:29" ht="15" thickBot="1" x14ac:dyDescent="0.4">
      <c r="A18" t="s">
        <v>96</v>
      </c>
      <c r="C18" s="14">
        <f>Cash!F57</f>
        <v>385</v>
      </c>
      <c r="E18" t="s">
        <v>100</v>
      </c>
      <c r="H18" s="14">
        <f>Bank!AA98+Cash!I57</f>
        <v>620</v>
      </c>
      <c r="J18" s="73" t="s">
        <v>268</v>
      </c>
      <c r="K18" s="78"/>
      <c r="L18" s="74">
        <f>SUM(L16:L17)*L6</f>
        <v>426.25</v>
      </c>
      <c r="AC18" s="57"/>
    </row>
    <row r="19" spans="1:29" ht="15" thickTop="1" x14ac:dyDescent="0.35">
      <c r="A19" t="s">
        <v>98</v>
      </c>
      <c r="C19" s="14">
        <f>Bank!U98</f>
        <v>0</v>
      </c>
      <c r="D19" s="28"/>
      <c r="K19" s="77"/>
    </row>
    <row r="20" spans="1:29" x14ac:dyDescent="0.35">
      <c r="A20" s="8" t="s">
        <v>12</v>
      </c>
      <c r="C20" s="9">
        <f>SUM(C17:C19)</f>
        <v>998.15</v>
      </c>
      <c r="D20" s="28"/>
      <c r="E20" s="8" t="s">
        <v>12</v>
      </c>
      <c r="H20" s="9">
        <f>SUM(H17:H19)</f>
        <v>620</v>
      </c>
      <c r="J20" t="s">
        <v>19</v>
      </c>
      <c r="K20" s="77"/>
    </row>
    <row r="21" spans="1:29" x14ac:dyDescent="0.35">
      <c r="C21" s="14"/>
      <c r="D21" s="28"/>
      <c r="H21" s="14"/>
      <c r="J21" s="69" t="s">
        <v>260</v>
      </c>
      <c r="K21" s="77">
        <v>5</v>
      </c>
      <c r="L21" s="31">
        <f>K21*$L$8</f>
        <v>5.5</v>
      </c>
    </row>
    <row r="22" spans="1:29" ht="15.5" x14ac:dyDescent="0.35">
      <c r="A22" s="8" t="s">
        <v>88</v>
      </c>
      <c r="C22" s="52" t="s">
        <v>104</v>
      </c>
      <c r="E22" s="8" t="s">
        <v>90</v>
      </c>
      <c r="J22" s="69" t="s">
        <v>261</v>
      </c>
      <c r="K22" s="77">
        <v>16</v>
      </c>
      <c r="L22" s="31">
        <f>K22*$L$8</f>
        <v>17.600000000000001</v>
      </c>
    </row>
    <row r="23" spans="1:29" ht="15" thickBot="1" x14ac:dyDescent="0.4">
      <c r="C23" s="10"/>
      <c r="E23" t="s">
        <v>105</v>
      </c>
      <c r="H23" s="10">
        <f>Bank!AH98</f>
        <v>160</v>
      </c>
      <c r="J23" s="73" t="s">
        <v>269</v>
      </c>
      <c r="K23" s="73"/>
      <c r="L23" s="74">
        <f>SUM(L21:L22)*L6</f>
        <v>577.5</v>
      </c>
    </row>
    <row r="24" spans="1:29" ht="15" thickTop="1" x14ac:dyDescent="0.35">
      <c r="C24" s="10">
        <f>F47</f>
        <v>0</v>
      </c>
      <c r="E24" t="s">
        <v>106</v>
      </c>
      <c r="H24" s="10">
        <f>Cash!J57</f>
        <v>7</v>
      </c>
    </row>
    <row r="25" spans="1:29" x14ac:dyDescent="0.35">
      <c r="A25" s="8" t="s">
        <v>12</v>
      </c>
      <c r="C25" s="20">
        <f>SUM(C23:C24)</f>
        <v>0</v>
      </c>
      <c r="E25" s="8" t="s">
        <v>12</v>
      </c>
      <c r="H25" s="20">
        <f>SUM(H23:H24)</f>
        <v>167</v>
      </c>
    </row>
    <row r="26" spans="1:29" x14ac:dyDescent="0.35">
      <c r="C26" s="14"/>
      <c r="D26" s="28"/>
      <c r="H26" s="14"/>
      <c r="J26" s="58" t="s">
        <v>188</v>
      </c>
      <c r="K26" s="59"/>
    </row>
    <row r="27" spans="1:29" x14ac:dyDescent="0.35">
      <c r="D27" s="28"/>
      <c r="H27" s="14"/>
      <c r="J27" t="str">
        <f>E7</f>
        <v>UGLE</v>
      </c>
      <c r="K27" s="57">
        <f>K13</f>
        <v>0</v>
      </c>
      <c r="L27" s="31">
        <f>L13</f>
        <v>2392.5</v>
      </c>
    </row>
    <row r="28" spans="1:29" ht="15.5" x14ac:dyDescent="0.35">
      <c r="A28" s="8" t="s">
        <v>88</v>
      </c>
      <c r="C28" s="52" t="s">
        <v>137</v>
      </c>
      <c r="E28" s="8" t="s">
        <v>90</v>
      </c>
      <c r="J28" t="str">
        <f>E8</f>
        <v>PGLE</v>
      </c>
      <c r="K28" s="57">
        <f>K18</f>
        <v>0</v>
      </c>
      <c r="L28" s="31">
        <f>L18</f>
        <v>426.25</v>
      </c>
    </row>
    <row r="29" spans="1:29" x14ac:dyDescent="0.35">
      <c r="A29" t="s">
        <v>138</v>
      </c>
      <c r="C29" s="10">
        <f>Bank!W98</f>
        <v>177.3</v>
      </c>
      <c r="H29" s="10">
        <f>Bank!AH104</f>
        <v>0</v>
      </c>
      <c r="J29" t="str">
        <f>E9</f>
        <v>Orsett Masonic Hall rent</v>
      </c>
      <c r="K29" s="57">
        <f>K20</f>
        <v>0</v>
      </c>
      <c r="L29" s="31">
        <f>L23</f>
        <v>577.5</v>
      </c>
    </row>
    <row r="30" spans="1:29" x14ac:dyDescent="0.35">
      <c r="A30" s="8" t="s">
        <v>12</v>
      </c>
      <c r="C30" s="20">
        <f>SUM(C29:C29)</f>
        <v>177.3</v>
      </c>
      <c r="E30" s="8" t="s">
        <v>12</v>
      </c>
      <c r="H30" s="10">
        <f>SUM(H29:H29)</f>
        <v>0</v>
      </c>
      <c r="J30" t="str">
        <f>E10</f>
        <v>L of I Rent Woolmarket</v>
      </c>
      <c r="L30" s="31">
        <f>H10-150</f>
        <v>405</v>
      </c>
    </row>
    <row r="31" spans="1:29" x14ac:dyDescent="0.35">
      <c r="C31" s="14"/>
      <c r="D31" s="28"/>
      <c r="H31" s="14"/>
      <c r="J31" t="str">
        <f>E11</f>
        <v>Tylers Fee</v>
      </c>
      <c r="L31" s="31">
        <f>H11</f>
        <v>180</v>
      </c>
    </row>
    <row r="32" spans="1:29" ht="15.5" x14ac:dyDescent="0.35">
      <c r="C32" s="52" t="s">
        <v>139</v>
      </c>
      <c r="J32" t="s">
        <v>194</v>
      </c>
      <c r="L32" s="31">
        <v>200</v>
      </c>
    </row>
    <row r="33" spans="1:26" x14ac:dyDescent="0.35">
      <c r="A33" t="s">
        <v>175</v>
      </c>
      <c r="C33" s="50">
        <v>21053.719999999998</v>
      </c>
      <c r="E33" t="s">
        <v>176</v>
      </c>
      <c r="H33" s="20">
        <f>Bank!F96</f>
        <v>20732.670000000002</v>
      </c>
      <c r="J33" t="s">
        <v>195</v>
      </c>
      <c r="L33" s="31">
        <v>90</v>
      </c>
    </row>
    <row r="34" spans="1:26" x14ac:dyDescent="0.35">
      <c r="A34" t="s">
        <v>102</v>
      </c>
      <c r="C34" s="10">
        <f>SUM(Bank!D3:D96)</f>
        <v>9167.1499999999978</v>
      </c>
      <c r="D34" s="10"/>
      <c r="J34" t="s">
        <v>187</v>
      </c>
      <c r="L34" s="31">
        <v>200</v>
      </c>
    </row>
    <row r="35" spans="1:26" x14ac:dyDescent="0.35">
      <c r="A35" t="s">
        <v>103</v>
      </c>
      <c r="C35" s="10">
        <f>SUM(Bank!E3:E96)</f>
        <v>9488.2000000000007</v>
      </c>
      <c r="D35" s="10"/>
      <c r="J35" s="8" t="s">
        <v>12</v>
      </c>
      <c r="L35" s="71">
        <f>SUM(L27:L34)</f>
        <v>4471.25</v>
      </c>
    </row>
    <row r="36" spans="1:26" x14ac:dyDescent="0.35">
      <c r="A36" s="8" t="s">
        <v>12</v>
      </c>
      <c r="B36" s="8"/>
      <c r="C36" s="20">
        <f>C33+C34-C35</f>
        <v>20732.669999999995</v>
      </c>
      <c r="H36" s="30"/>
    </row>
    <row r="37" spans="1:26" x14ac:dyDescent="0.35">
      <c r="J37" s="35" t="s">
        <v>189</v>
      </c>
      <c r="K37" s="57"/>
      <c r="L37" s="10">
        <f>L35/L6</f>
        <v>178.85</v>
      </c>
      <c r="R37" s="10"/>
      <c r="S37" s="10"/>
      <c r="T37" s="10"/>
      <c r="U37" s="10"/>
      <c r="V37" s="10"/>
      <c r="W37" s="10"/>
      <c r="X37" s="10"/>
      <c r="Y37" s="10"/>
      <c r="Z37" s="10"/>
    </row>
    <row r="39" spans="1:26" ht="15.5" x14ac:dyDescent="0.35">
      <c r="C39" s="52" t="s">
        <v>107</v>
      </c>
    </row>
    <row r="40" spans="1:26" x14ac:dyDescent="0.35">
      <c r="A40" s="44" t="s">
        <v>118</v>
      </c>
      <c r="B40" s="44"/>
      <c r="C40" s="44" t="s">
        <v>119</v>
      </c>
      <c r="D40" s="45" t="s">
        <v>88</v>
      </c>
      <c r="E40" s="45" t="s">
        <v>120</v>
      </c>
      <c r="F40" s="45" t="s">
        <v>143</v>
      </c>
      <c r="G40" s="45" t="s">
        <v>144</v>
      </c>
      <c r="H40" s="45" t="s">
        <v>121</v>
      </c>
    </row>
    <row r="41" spans="1:26" x14ac:dyDescent="0.35">
      <c r="A41" s="46" t="s">
        <v>109</v>
      </c>
      <c r="B41" s="46"/>
      <c r="C41" s="47">
        <v>5141.1699999999946</v>
      </c>
      <c r="D41" s="47">
        <f>C13</f>
        <v>8123.7</v>
      </c>
      <c r="E41" s="47">
        <f>H13</f>
        <v>8888.2000000000007</v>
      </c>
      <c r="F41" s="47">
        <f>G45+G46</f>
        <v>82</v>
      </c>
      <c r="G41" s="51"/>
      <c r="H41" s="47">
        <f>C41+D41-E41+F41-G41</f>
        <v>4458.6699999999946</v>
      </c>
    </row>
    <row r="42" spans="1:26" x14ac:dyDescent="0.35">
      <c r="A42" s="46" t="s">
        <v>110</v>
      </c>
      <c r="B42" s="46"/>
      <c r="C42" s="47">
        <v>744.46</v>
      </c>
      <c r="D42" s="47">
        <f>C20</f>
        <v>998.15</v>
      </c>
      <c r="E42" s="47">
        <f>H20</f>
        <v>620</v>
      </c>
      <c r="F42" s="47"/>
      <c r="G42" s="51"/>
      <c r="H42" s="47">
        <f t="shared" ref="H42:H49" si="0">C42+D42-E42+F42-G42</f>
        <v>1122.6100000000001</v>
      </c>
    </row>
    <row r="43" spans="1:26" x14ac:dyDescent="0.35">
      <c r="A43" s="46" t="s">
        <v>111</v>
      </c>
      <c r="B43" s="46"/>
      <c r="C43" s="47">
        <v>10689.79</v>
      </c>
      <c r="D43" s="47">
        <v>0</v>
      </c>
      <c r="E43" s="47">
        <v>0</v>
      </c>
      <c r="F43" s="47"/>
      <c r="G43" s="51">
        <v>5000</v>
      </c>
      <c r="H43" s="47">
        <f t="shared" si="0"/>
        <v>5689.7900000000009</v>
      </c>
    </row>
    <row r="44" spans="1:26" x14ac:dyDescent="0.35">
      <c r="A44" s="46" t="s">
        <v>112</v>
      </c>
      <c r="B44" s="46"/>
      <c r="C44" s="47">
        <v>335.65</v>
      </c>
      <c r="D44" s="47">
        <f>Bank!W98</f>
        <v>177.3</v>
      </c>
      <c r="E44" s="47">
        <f>H30</f>
        <v>0</v>
      </c>
      <c r="F44" s="47"/>
      <c r="G44" s="51"/>
      <c r="H44" s="47">
        <f t="shared" si="0"/>
        <v>512.95000000000005</v>
      </c>
    </row>
    <row r="45" spans="1:26" x14ac:dyDescent="0.35">
      <c r="A45" s="46" t="s">
        <v>114</v>
      </c>
      <c r="B45" s="46"/>
      <c r="C45" s="47">
        <v>127.745</v>
      </c>
      <c r="D45" s="47">
        <f>SUM(Bank!M98)</f>
        <v>25</v>
      </c>
      <c r="E45" s="47"/>
      <c r="F45" s="47"/>
      <c r="G45" s="51">
        <f>SUM(Members!C3:C31)</f>
        <v>50.6</v>
      </c>
      <c r="H45" s="47">
        <f t="shared" si="0"/>
        <v>102.14500000000001</v>
      </c>
    </row>
    <row r="46" spans="1:26" x14ac:dyDescent="0.35">
      <c r="A46" s="46" t="s">
        <v>115</v>
      </c>
      <c r="B46" s="46"/>
      <c r="C46" s="47">
        <v>72.255000000000081</v>
      </c>
      <c r="D46" s="47">
        <f>Bank!N98</f>
        <v>30</v>
      </c>
      <c r="E46" s="47"/>
      <c r="F46" s="47"/>
      <c r="G46" s="51">
        <f>SUM(Members!D3:D31)</f>
        <v>31.4</v>
      </c>
      <c r="H46" s="47">
        <f t="shared" si="0"/>
        <v>70.855000000000075</v>
      </c>
    </row>
    <row r="47" spans="1:26" x14ac:dyDescent="0.35">
      <c r="A47" s="46" t="s">
        <v>104</v>
      </c>
      <c r="B47" s="46"/>
      <c r="C47" s="47">
        <v>772.17000000000007</v>
      </c>
      <c r="D47" s="47"/>
      <c r="E47" s="47">
        <f>H25</f>
        <v>167</v>
      </c>
      <c r="F47" s="47"/>
      <c r="G47" s="51"/>
      <c r="H47" s="47">
        <f t="shared" si="0"/>
        <v>605.17000000000007</v>
      </c>
    </row>
    <row r="48" spans="1:26" x14ac:dyDescent="0.35">
      <c r="A48" s="46" t="s">
        <v>113</v>
      </c>
      <c r="B48" s="46"/>
      <c r="C48" s="47">
        <v>3170.48</v>
      </c>
      <c r="D48" s="47"/>
      <c r="E48" s="47">
        <v>0</v>
      </c>
      <c r="F48" s="47">
        <v>5000</v>
      </c>
      <c r="G48" s="51"/>
      <c r="H48" s="47">
        <f t="shared" si="0"/>
        <v>8170.48</v>
      </c>
    </row>
    <row r="49" spans="1:16" x14ac:dyDescent="0.35">
      <c r="A49" s="46"/>
      <c r="B49" s="46"/>
      <c r="C49" s="50">
        <f>SUM(C41:C48)</f>
        <v>21053.719999999998</v>
      </c>
      <c r="D49" s="50">
        <f>SUM(D41:D48)</f>
        <v>9354.15</v>
      </c>
      <c r="E49" s="50">
        <f>SUM(E41:E48)</f>
        <v>9675.2000000000007</v>
      </c>
      <c r="F49" s="50">
        <f>SUM(F41:F48)</f>
        <v>5082</v>
      </c>
      <c r="G49" s="50">
        <f>SUM(G41:G48)</f>
        <v>5082</v>
      </c>
      <c r="H49" s="50">
        <f t="shared" si="0"/>
        <v>20732.669999999995</v>
      </c>
    </row>
    <row r="50" spans="1:16" x14ac:dyDescent="0.35">
      <c r="A50" s="8" t="s">
        <v>140</v>
      </c>
      <c r="D50" s="10"/>
    </row>
    <row r="51" spans="1:16" x14ac:dyDescent="0.35">
      <c r="A51" s="53" t="str">
        <f>_xlfn.CONCAT(TEXT(COUNTIF(Members!G2:G31,"&gt;0"),"##")," members are in arrears (includes resigned and deceased) totalling",TEXT(Members!G32,"  #,###"))</f>
        <v>7 members are in arrears (includes resigned and deceased) totalling  1,340</v>
      </c>
      <c r="B51" s="53"/>
      <c r="D51" s="10"/>
      <c r="F51" s="76"/>
    </row>
    <row r="52" spans="1:16" x14ac:dyDescent="0.35">
      <c r="A52" s="53" t="s">
        <v>108</v>
      </c>
      <c r="B52" s="53"/>
      <c r="C52" s="53"/>
      <c r="D52" s="53"/>
      <c r="E52" s="53"/>
      <c r="L52" s="10"/>
    </row>
    <row r="54" spans="1:16" ht="15.5" x14ac:dyDescent="0.35">
      <c r="C54" s="52" t="s">
        <v>145</v>
      </c>
    </row>
    <row r="55" spans="1:16" x14ac:dyDescent="0.35">
      <c r="I55" s="10">
        <f>H49-H33</f>
        <v>0</v>
      </c>
      <c r="J55" s="10"/>
      <c r="K55" s="10"/>
      <c r="M55" s="10"/>
      <c r="N55" s="10"/>
      <c r="O55" s="10"/>
      <c r="P55" s="10"/>
    </row>
    <row r="56" spans="1:16" x14ac:dyDescent="0.35">
      <c r="A56" s="79" t="s">
        <v>271</v>
      </c>
      <c r="B56" s="80"/>
      <c r="C56" s="80"/>
      <c r="D56" s="80"/>
      <c r="E56" s="80"/>
      <c r="F56" s="80"/>
      <c r="G56" s="80"/>
      <c r="H56" s="80"/>
    </row>
    <row r="57" spans="1:16" x14ac:dyDescent="0.35">
      <c r="A57" s="80"/>
      <c r="B57" s="80"/>
      <c r="C57" s="80"/>
      <c r="D57" s="80"/>
      <c r="E57" s="80"/>
      <c r="F57" s="80"/>
      <c r="G57" s="80"/>
      <c r="H57" s="80"/>
    </row>
    <row r="58" spans="1:16" x14ac:dyDescent="0.35">
      <c r="A58" s="80"/>
      <c r="B58" s="80"/>
      <c r="C58" s="80"/>
      <c r="D58" s="80"/>
      <c r="E58" s="80"/>
      <c r="F58" s="80"/>
      <c r="G58" s="80"/>
      <c r="H58" s="80"/>
    </row>
    <row r="59" spans="1:16" x14ac:dyDescent="0.35">
      <c r="A59" s="80"/>
      <c r="B59" s="80"/>
      <c r="C59" s="80"/>
      <c r="D59" s="80"/>
      <c r="E59" s="80"/>
      <c r="F59" s="80"/>
      <c r="G59" s="80"/>
      <c r="H59" s="80"/>
    </row>
    <row r="60" spans="1:16" x14ac:dyDescent="0.35">
      <c r="A60" s="80"/>
      <c r="B60" s="80"/>
      <c r="C60" s="80"/>
      <c r="D60" s="80"/>
      <c r="E60" s="80"/>
      <c r="F60" s="80"/>
      <c r="G60" s="80"/>
      <c r="H60" s="80"/>
    </row>
    <row r="61" spans="1:16" x14ac:dyDescent="0.35">
      <c r="A61" s="80"/>
      <c r="B61" s="80"/>
      <c r="C61" s="80"/>
      <c r="D61" s="80"/>
      <c r="E61" s="80"/>
      <c r="F61" s="80"/>
      <c r="G61" s="80"/>
      <c r="H61" s="80"/>
    </row>
    <row r="62" spans="1:16" hidden="1" x14ac:dyDescent="0.35">
      <c r="A62" s="80"/>
      <c r="B62" s="80"/>
      <c r="C62" s="80"/>
      <c r="D62" s="80"/>
      <c r="E62" s="80"/>
      <c r="F62" s="80"/>
      <c r="G62" s="80"/>
      <c r="H62" s="80"/>
    </row>
    <row r="63" spans="1:16" hidden="1" x14ac:dyDescent="0.35">
      <c r="A63" s="80"/>
      <c r="B63" s="80"/>
      <c r="C63" s="80"/>
      <c r="D63" s="80"/>
      <c r="E63" s="80"/>
      <c r="F63" s="80"/>
      <c r="G63" s="80"/>
      <c r="H63" s="80"/>
    </row>
    <row r="64" spans="1:16" hidden="1" x14ac:dyDescent="0.35">
      <c r="A64" s="80"/>
      <c r="B64" s="80"/>
      <c r="C64" s="80"/>
      <c r="D64" s="80"/>
      <c r="E64" s="80"/>
      <c r="F64" s="80"/>
      <c r="G64" s="80"/>
      <c r="H64" s="80"/>
    </row>
    <row r="65" spans="1:8" hidden="1" x14ac:dyDescent="0.35">
      <c r="A65" s="80"/>
      <c r="B65" s="80"/>
      <c r="C65" s="80"/>
      <c r="D65" s="80"/>
      <c r="E65" s="80"/>
      <c r="F65" s="80"/>
      <c r="G65" s="80"/>
      <c r="H65" s="80"/>
    </row>
    <row r="66" spans="1:8" hidden="1" x14ac:dyDescent="0.35">
      <c r="A66" s="80"/>
      <c r="B66" s="80"/>
      <c r="C66" s="80"/>
      <c r="D66" s="80"/>
      <c r="E66" s="80"/>
      <c r="F66" s="80"/>
      <c r="G66" s="80"/>
      <c r="H66" s="80"/>
    </row>
    <row r="67" spans="1:8" hidden="1" x14ac:dyDescent="0.35">
      <c r="A67" s="80"/>
      <c r="B67" s="80"/>
      <c r="C67" s="80"/>
      <c r="D67" s="80"/>
      <c r="E67" s="80"/>
      <c r="F67" s="80"/>
      <c r="G67" s="80"/>
      <c r="H67" s="80"/>
    </row>
    <row r="68" spans="1:8" hidden="1" x14ac:dyDescent="0.35">
      <c r="A68" s="80"/>
      <c r="B68" s="80"/>
      <c r="C68" s="80"/>
      <c r="D68" s="80"/>
      <c r="E68" s="80"/>
      <c r="F68" s="80"/>
      <c r="G68" s="80"/>
      <c r="H68" s="80"/>
    </row>
    <row r="71" spans="1:8" x14ac:dyDescent="0.35">
      <c r="B71" t="s">
        <v>146</v>
      </c>
      <c r="F71" t="s">
        <v>4</v>
      </c>
    </row>
    <row r="72" spans="1:8" x14ac:dyDescent="0.35">
      <c r="C72" t="s">
        <v>149</v>
      </c>
    </row>
    <row r="75" spans="1:8" x14ac:dyDescent="0.35">
      <c r="B75" t="s">
        <v>147</v>
      </c>
      <c r="F75" t="s">
        <v>147</v>
      </c>
    </row>
    <row r="76" spans="1:8" x14ac:dyDescent="0.35">
      <c r="C76" t="s">
        <v>150</v>
      </c>
      <c r="G76" t="s">
        <v>148</v>
      </c>
    </row>
  </sheetData>
  <mergeCells count="3">
    <mergeCell ref="A56:H68"/>
    <mergeCell ref="A1:H1"/>
    <mergeCell ref="A2:H2"/>
  </mergeCells>
  <conditionalFormatting sqref="D34:D35">
    <cfRule type="cellIs" dxfId="3" priority="1" operator="notEqual">
      <formula>0</formula>
    </cfRule>
  </conditionalFormatting>
  <pageMargins left="0.7" right="0.7" top="0.75" bottom="0.75" header="0.3" footer="0.3"/>
  <pageSetup paperSize="9" scale="68" orientation="portrait" horizontalDpi="360" verticalDpi="360" r:id="rId1"/>
  <rowBreaks count="1" manualBreakCount="1">
    <brk id="54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D51F-469E-4821-8514-4EB133BDCCED}">
  <sheetPr>
    <pageSetUpPr fitToPage="1"/>
  </sheetPr>
  <dimension ref="A1:M58"/>
  <sheetViews>
    <sheetView topLeftCell="A27" zoomScale="130" zoomScaleNormal="130" workbookViewId="0">
      <selection activeCell="C50" sqref="C50"/>
    </sheetView>
  </sheetViews>
  <sheetFormatPr defaultRowHeight="14.5" x14ac:dyDescent="0.35"/>
  <cols>
    <col min="1" max="2" width="27" customWidth="1"/>
    <col min="3" max="6" width="8.81640625" style="21" bestFit="1" customWidth="1"/>
    <col min="7" max="7" width="10.1796875" style="21" bestFit="1" customWidth="1"/>
    <col min="8" max="8" width="9.81640625" style="21" bestFit="1" customWidth="1"/>
    <col min="9" max="11" width="8.81640625" style="21" bestFit="1" customWidth="1"/>
    <col min="12" max="12" width="8.81640625" bestFit="1" customWidth="1"/>
    <col min="13" max="13" width="14.81640625" customWidth="1"/>
  </cols>
  <sheetData>
    <row r="1" spans="1:13" x14ac:dyDescent="0.35">
      <c r="A1" s="8" t="s">
        <v>60</v>
      </c>
      <c r="C1" s="23"/>
      <c r="D1" s="23"/>
      <c r="E1" s="23"/>
      <c r="F1" s="23"/>
      <c r="G1" s="23"/>
      <c r="H1" s="23"/>
      <c r="I1" s="23"/>
      <c r="J1" s="23"/>
      <c r="K1" s="23"/>
      <c r="L1" s="14"/>
      <c r="M1" s="14"/>
    </row>
    <row r="2" spans="1:13" x14ac:dyDescent="0.35">
      <c r="A2" s="22" t="s">
        <v>65</v>
      </c>
      <c r="B2" s="22" t="s">
        <v>59</v>
      </c>
      <c r="C2" s="24" t="s">
        <v>10</v>
      </c>
      <c r="D2" s="24" t="s">
        <v>11</v>
      </c>
      <c r="E2" s="24" t="s">
        <v>23</v>
      </c>
      <c r="F2" s="24" t="s">
        <v>24</v>
      </c>
      <c r="G2" s="24" t="s">
        <v>25</v>
      </c>
      <c r="H2" s="24" t="s">
        <v>63</v>
      </c>
      <c r="I2" s="24" t="s">
        <v>16</v>
      </c>
      <c r="J2" s="24" t="s">
        <v>79</v>
      </c>
      <c r="K2" s="24" t="s">
        <v>58</v>
      </c>
      <c r="L2" s="24" t="s">
        <v>64</v>
      </c>
      <c r="M2" s="14"/>
    </row>
    <row r="3" spans="1:13" x14ac:dyDescent="0.35">
      <c r="A3" t="s">
        <v>26</v>
      </c>
      <c r="B3" t="s">
        <v>51</v>
      </c>
      <c r="C3" s="23"/>
      <c r="D3" s="23">
        <v>30</v>
      </c>
      <c r="E3" s="23"/>
      <c r="F3" s="23"/>
      <c r="G3" s="23"/>
      <c r="H3" s="23">
        <f>SUM(C3:G3)</f>
        <v>30</v>
      </c>
      <c r="I3" s="23"/>
      <c r="J3" s="23"/>
      <c r="K3" s="23"/>
      <c r="L3" s="23">
        <f>SUM(I3:K3)</f>
        <v>0</v>
      </c>
      <c r="M3" s="14"/>
    </row>
    <row r="4" spans="1:13" x14ac:dyDescent="0.35">
      <c r="A4" t="s">
        <v>26</v>
      </c>
      <c r="B4" t="s">
        <v>192</v>
      </c>
      <c r="C4" s="23"/>
      <c r="D4" s="23">
        <v>30</v>
      </c>
      <c r="E4" s="23"/>
      <c r="F4" s="23"/>
      <c r="G4" s="23"/>
      <c r="H4" s="23">
        <f t="shared" ref="H4:H22" si="0">SUM(C4:G4)</f>
        <v>30</v>
      </c>
      <c r="I4" s="23"/>
      <c r="J4" s="23"/>
      <c r="K4" s="23"/>
      <c r="L4" s="23">
        <f t="shared" ref="L4:L7" si="1">SUM(I4:K4)</f>
        <v>0</v>
      </c>
      <c r="M4" s="14"/>
    </row>
    <row r="5" spans="1:13" x14ac:dyDescent="0.35">
      <c r="A5" t="s">
        <v>58</v>
      </c>
      <c r="B5" t="s">
        <v>67</v>
      </c>
      <c r="C5" s="23"/>
      <c r="D5" s="23"/>
      <c r="E5" s="23"/>
      <c r="F5" s="23"/>
      <c r="G5" s="23"/>
      <c r="H5" s="23">
        <f>SUM(C5:G5)</f>
        <v>0</v>
      </c>
      <c r="I5" s="23"/>
      <c r="J5" s="23"/>
      <c r="K5" s="23">
        <v>45</v>
      </c>
      <c r="L5" s="23">
        <f>SUM(I5:K5)</f>
        <v>45</v>
      </c>
      <c r="M5" s="25">
        <f>SUM(H3:H5)-SUM(L3:L5)</f>
        <v>15</v>
      </c>
    </row>
    <row r="6" spans="1:13" x14ac:dyDescent="0.35">
      <c r="A6" t="s">
        <v>66</v>
      </c>
      <c r="B6" t="s">
        <v>23</v>
      </c>
      <c r="C6" s="23"/>
      <c r="D6" s="23"/>
      <c r="E6" s="23">
        <v>95</v>
      </c>
      <c r="F6" s="23"/>
      <c r="G6" s="23"/>
      <c r="H6" s="23">
        <f t="shared" si="0"/>
        <v>95</v>
      </c>
      <c r="I6" s="23"/>
      <c r="J6" s="23"/>
      <c r="K6" s="23"/>
      <c r="L6" s="23">
        <f t="shared" si="1"/>
        <v>0</v>
      </c>
      <c r="M6" s="9">
        <f>H6-L6</f>
        <v>95</v>
      </c>
    </row>
    <row r="7" spans="1:13" x14ac:dyDescent="0.35">
      <c r="A7" t="s">
        <v>66</v>
      </c>
      <c r="B7" t="s">
        <v>24</v>
      </c>
      <c r="C7" s="23"/>
      <c r="D7" s="23"/>
      <c r="E7" s="23"/>
      <c r="F7" s="23">
        <v>155</v>
      </c>
      <c r="G7" s="23"/>
      <c r="H7" s="23">
        <f t="shared" si="0"/>
        <v>155</v>
      </c>
      <c r="I7" s="23"/>
      <c r="J7" s="23"/>
      <c r="K7" s="23"/>
      <c r="L7" s="23">
        <f t="shared" si="1"/>
        <v>0</v>
      </c>
      <c r="M7" s="9">
        <f>H7-L7</f>
        <v>155</v>
      </c>
    </row>
    <row r="8" spans="1:13" x14ac:dyDescent="0.35">
      <c r="A8" s="8" t="s">
        <v>68</v>
      </c>
      <c r="C8" s="23"/>
      <c r="D8" s="23"/>
      <c r="E8" s="23"/>
      <c r="F8" s="23"/>
      <c r="G8" s="23"/>
      <c r="H8" s="23">
        <f t="shared" si="0"/>
        <v>0</v>
      </c>
      <c r="I8" s="23"/>
      <c r="J8" s="23"/>
      <c r="K8" s="23"/>
      <c r="L8" s="14"/>
    </row>
    <row r="9" spans="1:13" x14ac:dyDescent="0.35">
      <c r="A9" s="22" t="s">
        <v>65</v>
      </c>
      <c r="B9" s="22" t="s">
        <v>59</v>
      </c>
      <c r="C9" s="24" t="s">
        <v>10</v>
      </c>
      <c r="D9" s="24" t="s">
        <v>11</v>
      </c>
      <c r="E9" s="24" t="s">
        <v>23</v>
      </c>
      <c r="F9" s="24" t="s">
        <v>24</v>
      </c>
      <c r="G9" s="24" t="s">
        <v>25</v>
      </c>
      <c r="H9" s="24" t="s">
        <v>63</v>
      </c>
      <c r="I9" s="24" t="s">
        <v>16</v>
      </c>
      <c r="J9" s="24" t="s">
        <v>79</v>
      </c>
      <c r="K9" s="24" t="s">
        <v>58</v>
      </c>
      <c r="L9" s="24" t="s">
        <v>64</v>
      </c>
      <c r="M9" s="14"/>
    </row>
    <row r="10" spans="1:13" x14ac:dyDescent="0.35">
      <c r="A10" t="s">
        <v>26</v>
      </c>
      <c r="B10" t="s">
        <v>54</v>
      </c>
      <c r="C10" s="23"/>
      <c r="D10" s="23">
        <v>30</v>
      </c>
      <c r="E10" s="23"/>
      <c r="F10" s="23"/>
      <c r="G10" s="23"/>
      <c r="H10" s="23">
        <f t="shared" si="0"/>
        <v>30</v>
      </c>
      <c r="I10" s="23"/>
      <c r="J10" s="23"/>
      <c r="K10" s="23"/>
      <c r="L10" s="23">
        <f t="shared" ref="L10:L22" si="2">SUM(I10:K10)</f>
        <v>0</v>
      </c>
      <c r="M10" s="14"/>
    </row>
    <row r="11" spans="1:13" x14ac:dyDescent="0.35">
      <c r="A11" t="s">
        <v>26</v>
      </c>
      <c r="B11" t="s">
        <v>40</v>
      </c>
      <c r="C11" s="23"/>
      <c r="D11" s="23">
        <v>30</v>
      </c>
      <c r="E11" s="23"/>
      <c r="F11" s="23"/>
      <c r="G11" s="23"/>
      <c r="H11" s="23">
        <f t="shared" si="0"/>
        <v>30</v>
      </c>
      <c r="I11" s="23"/>
      <c r="J11" s="23"/>
      <c r="K11" s="23"/>
      <c r="L11" s="23">
        <f t="shared" si="2"/>
        <v>0</v>
      </c>
      <c r="M11" s="14"/>
    </row>
    <row r="12" spans="1:13" x14ac:dyDescent="0.35">
      <c r="A12" t="s">
        <v>26</v>
      </c>
      <c r="B12" t="s">
        <v>51</v>
      </c>
      <c r="C12" s="23"/>
      <c r="D12" s="23">
        <v>30</v>
      </c>
      <c r="E12" s="23"/>
      <c r="F12" s="23"/>
      <c r="G12" s="23"/>
      <c r="H12" s="23">
        <f t="shared" si="0"/>
        <v>30</v>
      </c>
      <c r="I12" s="23"/>
      <c r="J12" s="23"/>
      <c r="K12" s="23"/>
      <c r="L12" s="23">
        <f t="shared" si="2"/>
        <v>0</v>
      </c>
      <c r="M12" s="14"/>
    </row>
    <row r="13" spans="1:13" x14ac:dyDescent="0.35">
      <c r="A13" t="s">
        <v>26</v>
      </c>
      <c r="B13" t="s">
        <v>30</v>
      </c>
      <c r="C13" s="23"/>
      <c r="D13" s="23">
        <v>30</v>
      </c>
      <c r="E13" s="23"/>
      <c r="F13" s="23"/>
      <c r="G13" s="23"/>
      <c r="H13" s="23">
        <f t="shared" si="0"/>
        <v>30</v>
      </c>
      <c r="I13" s="23"/>
      <c r="J13" s="23"/>
      <c r="K13" s="23"/>
      <c r="L13" s="23">
        <f t="shared" si="2"/>
        <v>0</v>
      </c>
      <c r="M13" s="14"/>
    </row>
    <row r="14" spans="1:13" x14ac:dyDescent="0.35">
      <c r="A14" t="s">
        <v>61</v>
      </c>
      <c r="B14" t="s">
        <v>72</v>
      </c>
      <c r="C14" s="23"/>
      <c r="D14" s="23">
        <v>30</v>
      </c>
      <c r="E14" s="23"/>
      <c r="F14" s="23"/>
      <c r="G14" s="23"/>
      <c r="H14" s="23">
        <f t="shared" si="0"/>
        <v>30</v>
      </c>
      <c r="I14" s="23"/>
      <c r="J14" s="23"/>
      <c r="K14" s="23"/>
      <c r="L14" s="23">
        <f t="shared" si="2"/>
        <v>0</v>
      </c>
      <c r="M14" s="14"/>
    </row>
    <row r="15" spans="1:13" x14ac:dyDescent="0.35">
      <c r="A15" t="s">
        <v>61</v>
      </c>
      <c r="B15" t="s">
        <v>73</v>
      </c>
      <c r="C15" s="23"/>
      <c r="D15" s="23">
        <v>30</v>
      </c>
      <c r="E15" s="23"/>
      <c r="F15" s="23"/>
      <c r="G15" s="23"/>
      <c r="H15" s="23">
        <f t="shared" si="0"/>
        <v>30</v>
      </c>
      <c r="I15" s="23"/>
      <c r="J15" s="23"/>
      <c r="K15" s="23"/>
      <c r="L15" s="23">
        <f t="shared" si="2"/>
        <v>0</v>
      </c>
      <c r="M15" s="14"/>
    </row>
    <row r="16" spans="1:13" x14ac:dyDescent="0.35">
      <c r="A16" t="s">
        <v>61</v>
      </c>
      <c r="B16" t="s">
        <v>74</v>
      </c>
      <c r="C16" s="23"/>
      <c r="D16" s="23">
        <v>30</v>
      </c>
      <c r="E16" s="23"/>
      <c r="F16" s="23"/>
      <c r="G16" s="23"/>
      <c r="H16" s="23">
        <f t="shared" si="0"/>
        <v>30</v>
      </c>
      <c r="I16" s="23"/>
      <c r="J16" s="23"/>
      <c r="K16" s="23"/>
      <c r="L16" s="23">
        <f t="shared" si="2"/>
        <v>0</v>
      </c>
      <c r="M16" s="14"/>
    </row>
    <row r="17" spans="1:13" x14ac:dyDescent="0.35">
      <c r="A17" t="s">
        <v>61</v>
      </c>
      <c r="B17" t="s">
        <v>74</v>
      </c>
      <c r="C17" s="23"/>
      <c r="D17" s="23">
        <v>30</v>
      </c>
      <c r="E17" s="23"/>
      <c r="F17" s="23"/>
      <c r="G17" s="23"/>
      <c r="H17" s="23">
        <f t="shared" si="0"/>
        <v>30</v>
      </c>
      <c r="I17" s="23"/>
      <c r="J17" s="23"/>
      <c r="K17" s="23"/>
      <c r="L17" s="23">
        <f t="shared" si="2"/>
        <v>0</v>
      </c>
      <c r="M17" s="14"/>
    </row>
    <row r="18" spans="1:13" x14ac:dyDescent="0.35">
      <c r="A18" t="s">
        <v>61</v>
      </c>
      <c r="B18" t="s">
        <v>75</v>
      </c>
      <c r="C18" s="23"/>
      <c r="D18" s="23"/>
      <c r="E18" s="23"/>
      <c r="F18" s="23"/>
      <c r="G18" s="23"/>
      <c r="H18" s="23">
        <f t="shared" si="0"/>
        <v>0</v>
      </c>
      <c r="I18" s="23"/>
      <c r="J18" s="23"/>
      <c r="K18" s="23"/>
      <c r="L18" s="23">
        <f t="shared" si="2"/>
        <v>0</v>
      </c>
      <c r="M18" s="14"/>
    </row>
    <row r="19" spans="1:13" x14ac:dyDescent="0.35">
      <c r="A19" t="s">
        <v>80</v>
      </c>
      <c r="B19" t="s">
        <v>81</v>
      </c>
      <c r="C19" s="23"/>
      <c r="D19" s="23"/>
      <c r="E19" s="23"/>
      <c r="F19" s="23"/>
      <c r="G19" s="23"/>
      <c r="H19" s="23">
        <f>SUM(C19:G19)</f>
        <v>0</v>
      </c>
      <c r="I19" s="23"/>
      <c r="J19" s="23">
        <v>7</v>
      </c>
      <c r="K19" s="23"/>
      <c r="L19" s="23">
        <f>SUM(I19:K19)</f>
        <v>7</v>
      </c>
      <c r="M19" s="25"/>
    </row>
    <row r="20" spans="1:13" x14ac:dyDescent="0.35">
      <c r="A20" t="s">
        <v>58</v>
      </c>
      <c r="B20" t="s">
        <v>67</v>
      </c>
      <c r="C20" s="23"/>
      <c r="D20" s="23"/>
      <c r="E20" s="23"/>
      <c r="F20" s="23"/>
      <c r="G20" s="23"/>
      <c r="H20" s="23">
        <f>SUM(C20:G20)</f>
        <v>0</v>
      </c>
      <c r="I20" s="23"/>
      <c r="J20" s="23"/>
      <c r="K20" s="23">
        <v>45</v>
      </c>
      <c r="L20" s="23">
        <f>SUM(I20:K20)</f>
        <v>45</v>
      </c>
      <c r="M20" s="25">
        <f>SUM(H10:H20)-SUM(L10:L20)</f>
        <v>188</v>
      </c>
    </row>
    <row r="21" spans="1:13" x14ac:dyDescent="0.35">
      <c r="A21" t="s">
        <v>66</v>
      </c>
      <c r="B21" t="s">
        <v>23</v>
      </c>
      <c r="C21" s="23"/>
      <c r="D21" s="23"/>
      <c r="E21" s="23">
        <v>165</v>
      </c>
      <c r="F21" s="23"/>
      <c r="G21" s="23"/>
      <c r="H21" s="23">
        <f t="shared" si="0"/>
        <v>165</v>
      </c>
      <c r="I21" s="23"/>
      <c r="J21" s="23"/>
      <c r="K21" s="23"/>
      <c r="L21" s="23">
        <f t="shared" si="2"/>
        <v>0</v>
      </c>
      <c r="M21" s="9">
        <f>H21-L21</f>
        <v>165</v>
      </c>
    </row>
    <row r="22" spans="1:13" x14ac:dyDescent="0.35">
      <c r="A22" t="s">
        <v>66</v>
      </c>
      <c r="B22" t="s">
        <v>24</v>
      </c>
      <c r="C22" s="23"/>
      <c r="D22" s="23"/>
      <c r="E22" s="23"/>
      <c r="F22" s="23"/>
      <c r="G22" s="23"/>
      <c r="H22" s="23">
        <f t="shared" si="0"/>
        <v>0</v>
      </c>
      <c r="I22" s="23"/>
      <c r="J22" s="23"/>
      <c r="K22" s="23"/>
      <c r="L22" s="23">
        <f t="shared" si="2"/>
        <v>0</v>
      </c>
      <c r="M22" s="9">
        <f>H22-L22</f>
        <v>0</v>
      </c>
    </row>
    <row r="23" spans="1:13" x14ac:dyDescent="0.35">
      <c r="A23" s="8" t="s">
        <v>69</v>
      </c>
      <c r="C23" s="23"/>
      <c r="D23" s="23"/>
      <c r="E23" s="23"/>
      <c r="F23" s="23"/>
      <c r="G23" s="23"/>
      <c r="H23" s="23"/>
      <c r="I23" s="23"/>
      <c r="J23" s="23"/>
      <c r="K23" s="23"/>
      <c r="L23" s="14"/>
    </row>
    <row r="24" spans="1:13" x14ac:dyDescent="0.35">
      <c r="A24" s="22" t="s">
        <v>65</v>
      </c>
      <c r="B24" s="22" t="s">
        <v>59</v>
      </c>
      <c r="C24" s="24" t="s">
        <v>10</v>
      </c>
      <c r="D24" s="24" t="s">
        <v>11</v>
      </c>
      <c r="E24" s="24" t="s">
        <v>23</v>
      </c>
      <c r="F24" s="24" t="s">
        <v>24</v>
      </c>
      <c r="G24" s="24" t="s">
        <v>25</v>
      </c>
      <c r="H24" s="24" t="s">
        <v>63</v>
      </c>
      <c r="I24" s="24" t="s">
        <v>16</v>
      </c>
      <c r="J24" s="24" t="s">
        <v>79</v>
      </c>
      <c r="K24" s="24" t="s">
        <v>58</v>
      </c>
      <c r="L24" s="24" t="s">
        <v>64</v>
      </c>
      <c r="M24" s="14"/>
    </row>
    <row r="25" spans="1:13" x14ac:dyDescent="0.35">
      <c r="A25" t="s">
        <v>26</v>
      </c>
      <c r="B25" t="s">
        <v>40</v>
      </c>
      <c r="C25" s="23"/>
      <c r="D25" s="23">
        <v>30</v>
      </c>
      <c r="E25" s="23"/>
      <c r="F25" s="23"/>
      <c r="G25" s="23"/>
      <c r="H25" s="23">
        <f t="shared" ref="H25:H34" si="3">SUM(C25:G25)</f>
        <v>30</v>
      </c>
      <c r="I25" s="23"/>
      <c r="J25" s="23"/>
      <c r="K25" s="23"/>
      <c r="L25" s="23">
        <f t="shared" ref="L25:L34" si="4">SUM(I25:K25)</f>
        <v>0</v>
      </c>
      <c r="M25" s="14"/>
    </row>
    <row r="26" spans="1:13" x14ac:dyDescent="0.35">
      <c r="A26" t="s">
        <v>61</v>
      </c>
      <c r="B26" t="s">
        <v>237</v>
      </c>
      <c r="C26" s="23"/>
      <c r="D26" s="23">
        <v>30</v>
      </c>
      <c r="E26" s="23"/>
      <c r="F26" s="23"/>
      <c r="G26" s="23"/>
      <c r="H26" s="23">
        <f>SUM(C26:G26)</f>
        <v>30</v>
      </c>
      <c r="I26" s="23"/>
      <c r="J26" s="23"/>
      <c r="K26" s="23"/>
      <c r="L26" s="23">
        <f>SUM(I26:K26)</f>
        <v>0</v>
      </c>
      <c r="M26" s="14"/>
    </row>
    <row r="27" spans="1:13" x14ac:dyDescent="0.35">
      <c r="A27" t="s">
        <v>26</v>
      </c>
      <c r="B27" t="s">
        <v>238</v>
      </c>
      <c r="C27" s="23"/>
      <c r="D27" s="23">
        <v>30</v>
      </c>
      <c r="E27" s="23"/>
      <c r="F27" s="23"/>
      <c r="G27" s="23"/>
      <c r="H27" s="23">
        <f t="shared" ref="H27" si="5">SUM(C27:G27)</f>
        <v>30</v>
      </c>
      <c r="I27" s="23"/>
      <c r="J27" s="23"/>
      <c r="K27" s="23"/>
      <c r="L27" s="23">
        <f t="shared" ref="L27" si="6">SUM(I27:K27)</f>
        <v>0</v>
      </c>
      <c r="M27" s="14"/>
    </row>
    <row r="28" spans="1:13" x14ac:dyDescent="0.35">
      <c r="A28" t="s">
        <v>61</v>
      </c>
      <c r="B28" t="s">
        <v>62</v>
      </c>
      <c r="C28" s="23"/>
      <c r="D28" s="23">
        <v>30</v>
      </c>
      <c r="E28" s="23"/>
      <c r="F28" s="23"/>
      <c r="G28" s="23"/>
      <c r="H28" s="23">
        <f t="shared" ref="H28:H29" si="7">SUM(C28:G28)</f>
        <v>30</v>
      </c>
      <c r="I28" s="23"/>
      <c r="J28" s="23"/>
      <c r="K28" s="23"/>
      <c r="L28" s="23">
        <f t="shared" ref="L28:L29" si="8">SUM(I28:K28)</f>
        <v>0</v>
      </c>
      <c r="M28" s="14"/>
    </row>
    <row r="29" spans="1:13" x14ac:dyDescent="0.35">
      <c r="A29" t="s">
        <v>61</v>
      </c>
      <c r="B29" t="s">
        <v>239</v>
      </c>
      <c r="C29" s="23"/>
      <c r="D29" s="23">
        <v>30</v>
      </c>
      <c r="E29" s="23"/>
      <c r="F29" s="23"/>
      <c r="G29" s="23"/>
      <c r="H29" s="23">
        <f t="shared" si="7"/>
        <v>30</v>
      </c>
      <c r="I29" s="23"/>
      <c r="J29" s="23"/>
      <c r="K29" s="23"/>
      <c r="L29" s="23">
        <f t="shared" si="8"/>
        <v>0</v>
      </c>
      <c r="M29" s="14"/>
    </row>
    <row r="30" spans="1:13" x14ac:dyDescent="0.35">
      <c r="A30" t="s">
        <v>61</v>
      </c>
      <c r="B30" t="s">
        <v>240</v>
      </c>
      <c r="C30" s="23"/>
      <c r="D30" s="23">
        <v>30</v>
      </c>
      <c r="E30" s="23"/>
      <c r="F30" s="23"/>
      <c r="G30" s="23"/>
      <c r="H30" s="23">
        <f t="shared" si="3"/>
        <v>30</v>
      </c>
      <c r="I30" s="23"/>
      <c r="J30" s="23"/>
      <c r="K30" s="23"/>
      <c r="L30" s="23">
        <f t="shared" si="4"/>
        <v>0</v>
      </c>
      <c r="M30" s="14"/>
    </row>
    <row r="31" spans="1:13" x14ac:dyDescent="0.35">
      <c r="A31" t="s">
        <v>61</v>
      </c>
      <c r="B31" t="s">
        <v>241</v>
      </c>
      <c r="C31" s="23"/>
      <c r="D31" s="23">
        <v>30</v>
      </c>
      <c r="E31" s="23"/>
      <c r="F31" s="23"/>
      <c r="G31" s="23"/>
      <c r="H31" s="23">
        <f t="shared" si="3"/>
        <v>30</v>
      </c>
      <c r="I31" s="23"/>
      <c r="J31" s="23"/>
      <c r="K31" s="23"/>
      <c r="L31" s="23">
        <f t="shared" si="4"/>
        <v>0</v>
      </c>
      <c r="M31" s="14"/>
    </row>
    <row r="32" spans="1:13" x14ac:dyDescent="0.35">
      <c r="A32" t="s">
        <v>58</v>
      </c>
      <c r="B32" t="s">
        <v>67</v>
      </c>
      <c r="C32" s="23"/>
      <c r="D32" s="23"/>
      <c r="E32" s="23"/>
      <c r="F32" s="23"/>
      <c r="G32" s="23"/>
      <c r="H32" s="23">
        <f>SUM(C32:G32)</f>
        <v>0</v>
      </c>
      <c r="I32" s="23"/>
      <c r="J32" s="23"/>
      <c r="K32" s="23">
        <v>45</v>
      </c>
      <c r="L32" s="23">
        <f>SUM(I32:K32)</f>
        <v>45</v>
      </c>
      <c r="M32" s="25">
        <f>SUM(H25:H32)-SUM(L25:L32)</f>
        <v>165</v>
      </c>
    </row>
    <row r="33" spans="1:13" x14ac:dyDescent="0.35">
      <c r="A33" t="s">
        <v>66</v>
      </c>
      <c r="B33" t="s">
        <v>23</v>
      </c>
      <c r="C33" s="23"/>
      <c r="D33" s="23"/>
      <c r="E33" s="23">
        <v>195</v>
      </c>
      <c r="F33" s="23"/>
      <c r="G33" s="23"/>
      <c r="H33" s="23">
        <f t="shared" si="3"/>
        <v>195</v>
      </c>
      <c r="I33" s="23"/>
      <c r="J33" s="23"/>
      <c r="K33" s="23"/>
      <c r="L33" s="23">
        <f t="shared" si="4"/>
        <v>0</v>
      </c>
      <c r="M33" s="9">
        <f>H33-L33</f>
        <v>195</v>
      </c>
    </row>
    <row r="34" spans="1:13" x14ac:dyDescent="0.35">
      <c r="A34" t="s">
        <v>66</v>
      </c>
      <c r="B34" t="s">
        <v>24</v>
      </c>
      <c r="C34" s="23"/>
      <c r="D34" s="23"/>
      <c r="E34" s="23"/>
      <c r="F34" s="23"/>
      <c r="G34" s="23"/>
      <c r="H34" s="23">
        <f t="shared" si="3"/>
        <v>0</v>
      </c>
      <c r="I34" s="23"/>
      <c r="J34" s="23"/>
      <c r="K34" s="23"/>
      <c r="L34" s="23">
        <f t="shared" si="4"/>
        <v>0</v>
      </c>
      <c r="M34" s="9">
        <f>H34-L34</f>
        <v>0</v>
      </c>
    </row>
    <row r="35" spans="1:13" x14ac:dyDescent="0.35">
      <c r="A35" s="8" t="s">
        <v>70</v>
      </c>
      <c r="C35" s="23"/>
      <c r="D35" s="23"/>
      <c r="E35" s="23"/>
      <c r="F35" s="23"/>
      <c r="G35" s="23"/>
      <c r="H35" s="23"/>
      <c r="I35" s="23"/>
      <c r="J35" s="23"/>
      <c r="K35" s="23"/>
      <c r="L35" s="14"/>
      <c r="M35" s="14"/>
    </row>
    <row r="36" spans="1:13" x14ac:dyDescent="0.35">
      <c r="A36" s="22" t="s">
        <v>65</v>
      </c>
      <c r="B36" s="22" t="s">
        <v>59</v>
      </c>
      <c r="C36" s="24" t="s">
        <v>10</v>
      </c>
      <c r="D36" s="24" t="s">
        <v>11</v>
      </c>
      <c r="E36" s="24" t="s">
        <v>23</v>
      </c>
      <c r="F36" s="24" t="s">
        <v>24</v>
      </c>
      <c r="G36" s="24" t="s">
        <v>25</v>
      </c>
      <c r="H36" s="24" t="s">
        <v>63</v>
      </c>
      <c r="I36" s="24" t="s">
        <v>16</v>
      </c>
      <c r="J36" s="24" t="s">
        <v>79</v>
      </c>
      <c r="K36" s="24" t="s">
        <v>58</v>
      </c>
      <c r="L36" s="24" t="s">
        <v>64</v>
      </c>
      <c r="M36" s="14"/>
    </row>
    <row r="37" spans="1:13" x14ac:dyDescent="0.35">
      <c r="A37" t="s">
        <v>26</v>
      </c>
      <c r="B37" t="s">
        <v>42</v>
      </c>
      <c r="C37" s="23"/>
      <c r="D37" s="83">
        <v>-35</v>
      </c>
      <c r="E37" s="23"/>
      <c r="F37" s="23"/>
      <c r="G37" s="23"/>
      <c r="H37" s="23">
        <f t="shared" ref="H37:H45" si="9">SUM(C37:G37)</f>
        <v>-35</v>
      </c>
      <c r="I37" s="23"/>
      <c r="J37" s="23"/>
      <c r="K37" s="23"/>
      <c r="L37" s="23">
        <f t="shared" ref="L37:L45" si="10">SUM(I37:K37)</f>
        <v>0</v>
      </c>
      <c r="M37" s="14"/>
    </row>
    <row r="38" spans="1:13" x14ac:dyDescent="0.35">
      <c r="A38" t="s">
        <v>26</v>
      </c>
      <c r="B38" t="s">
        <v>32</v>
      </c>
      <c r="C38" s="23"/>
      <c r="D38" s="83">
        <v>30</v>
      </c>
      <c r="E38" s="23"/>
      <c r="F38" s="23"/>
      <c r="G38" s="23"/>
      <c r="H38" s="23">
        <f t="shared" ref="H38:H41" si="11">SUM(C38:G38)</f>
        <v>30</v>
      </c>
      <c r="I38" s="23"/>
      <c r="J38" s="23"/>
      <c r="K38" s="23"/>
      <c r="L38" s="23">
        <f t="shared" ref="L38:L41" si="12">SUM(I38:K38)</f>
        <v>0</v>
      </c>
      <c r="M38" s="14"/>
    </row>
    <row r="39" spans="1:13" x14ac:dyDescent="0.35">
      <c r="A39" t="s">
        <v>26</v>
      </c>
      <c r="B39" t="s">
        <v>40</v>
      </c>
      <c r="C39" s="23"/>
      <c r="D39" s="83">
        <v>30</v>
      </c>
      <c r="E39" s="23"/>
      <c r="F39" s="23"/>
      <c r="G39" s="23"/>
      <c r="H39" s="23">
        <f t="shared" si="11"/>
        <v>30</v>
      </c>
      <c r="I39" s="23"/>
      <c r="J39" s="23"/>
      <c r="K39" s="23"/>
      <c r="L39" s="23">
        <f t="shared" si="12"/>
        <v>0</v>
      </c>
      <c r="M39" s="14"/>
    </row>
    <row r="40" spans="1:13" x14ac:dyDescent="0.35">
      <c r="A40" t="s">
        <v>61</v>
      </c>
      <c r="B40" t="s">
        <v>287</v>
      </c>
      <c r="C40" s="23"/>
      <c r="D40" s="83">
        <v>30</v>
      </c>
      <c r="E40" s="23"/>
      <c r="F40" s="23"/>
      <c r="G40" s="23"/>
      <c r="H40" s="23">
        <f t="shared" si="11"/>
        <v>30</v>
      </c>
      <c r="I40" s="23"/>
      <c r="J40" s="23"/>
      <c r="K40" s="23"/>
      <c r="L40" s="23">
        <f t="shared" si="12"/>
        <v>0</v>
      </c>
      <c r="M40" s="14"/>
    </row>
    <row r="41" spans="1:13" x14ac:dyDescent="0.35">
      <c r="A41" t="s">
        <v>61</v>
      </c>
      <c r="B41" t="s">
        <v>288</v>
      </c>
      <c r="C41" s="23"/>
      <c r="D41" s="83">
        <v>30</v>
      </c>
      <c r="E41" s="23"/>
      <c r="F41" s="23"/>
      <c r="G41" s="23"/>
      <c r="H41" s="23">
        <f t="shared" si="11"/>
        <v>30</v>
      </c>
      <c r="I41" s="23"/>
      <c r="J41" s="23"/>
      <c r="K41" s="23"/>
      <c r="L41" s="23">
        <f t="shared" si="12"/>
        <v>0</v>
      </c>
      <c r="M41" s="14"/>
    </row>
    <row r="42" spans="1:13" x14ac:dyDescent="0.35">
      <c r="A42" t="s">
        <v>58</v>
      </c>
      <c r="B42" t="s">
        <v>67</v>
      </c>
      <c r="C42" s="23"/>
      <c r="D42" s="23"/>
      <c r="E42" s="23"/>
      <c r="F42" s="23"/>
      <c r="G42" s="23"/>
      <c r="H42" s="23">
        <f>SUM(C42:G42)</f>
        <v>0</v>
      </c>
      <c r="I42" s="23"/>
      <c r="J42" s="23"/>
      <c r="K42" s="23">
        <v>45</v>
      </c>
      <c r="L42" s="23">
        <f>SUM(I42:K42)</f>
        <v>45</v>
      </c>
      <c r="M42" s="25">
        <f>SUM(H37:H42)-SUM(L37:L42)</f>
        <v>40</v>
      </c>
    </row>
    <row r="43" spans="1:13" x14ac:dyDescent="0.35">
      <c r="A43" t="s">
        <v>26</v>
      </c>
      <c r="B43" t="s">
        <v>40</v>
      </c>
      <c r="C43" s="23">
        <v>100</v>
      </c>
      <c r="D43" s="83"/>
      <c r="E43" s="23"/>
      <c r="F43" s="23"/>
      <c r="G43" s="23"/>
      <c r="H43" s="23">
        <f>SUM(C43:G43)</f>
        <v>100</v>
      </c>
      <c r="I43" s="23"/>
      <c r="J43" s="23"/>
      <c r="K43" s="23"/>
      <c r="L43" s="23">
        <f>SUM(I43:K43)</f>
        <v>0</v>
      </c>
      <c r="M43" s="9">
        <f t="shared" ref="M43:M45" si="13">H43-L43</f>
        <v>100</v>
      </c>
    </row>
    <row r="44" spans="1:13" x14ac:dyDescent="0.35">
      <c r="A44" t="s">
        <v>66</v>
      </c>
      <c r="B44" t="s">
        <v>23</v>
      </c>
      <c r="C44" s="23"/>
      <c r="D44" s="23"/>
      <c r="E44" s="23">
        <v>158.15</v>
      </c>
      <c r="F44" s="23"/>
      <c r="G44" s="23"/>
      <c r="H44" s="23">
        <f t="shared" si="9"/>
        <v>158.15</v>
      </c>
      <c r="I44" s="23"/>
      <c r="J44" s="23"/>
      <c r="K44" s="23"/>
      <c r="L44" s="23">
        <f t="shared" si="10"/>
        <v>0</v>
      </c>
      <c r="M44" s="9">
        <f t="shared" si="13"/>
        <v>158.15</v>
      </c>
    </row>
    <row r="45" spans="1:13" x14ac:dyDescent="0.35">
      <c r="A45" t="s">
        <v>66</v>
      </c>
      <c r="B45" t="s">
        <v>24</v>
      </c>
      <c r="C45" s="23"/>
      <c r="D45" s="23"/>
      <c r="E45" s="23"/>
      <c r="F45" s="23">
        <v>230</v>
      </c>
      <c r="G45" s="23"/>
      <c r="H45" s="23">
        <f t="shared" si="9"/>
        <v>230</v>
      </c>
      <c r="I45" s="23"/>
      <c r="J45" s="23"/>
      <c r="K45" s="23"/>
      <c r="L45" s="23">
        <f t="shared" si="10"/>
        <v>0</v>
      </c>
      <c r="M45" s="9">
        <f t="shared" si="13"/>
        <v>230</v>
      </c>
    </row>
    <row r="46" spans="1:13" x14ac:dyDescent="0.35">
      <c r="A46" s="8" t="s">
        <v>71</v>
      </c>
      <c r="C46" s="23"/>
      <c r="D46" s="23"/>
      <c r="E46" s="23"/>
      <c r="F46" s="23"/>
      <c r="G46" s="23"/>
      <c r="H46" s="23"/>
      <c r="I46" s="23"/>
      <c r="J46" s="23"/>
      <c r="K46" s="23"/>
      <c r="L46" s="14"/>
      <c r="M46" s="14"/>
    </row>
    <row r="47" spans="1:13" x14ac:dyDescent="0.35">
      <c r="A47" s="22" t="s">
        <v>65</v>
      </c>
      <c r="B47" s="22" t="s">
        <v>59</v>
      </c>
      <c r="C47" s="24" t="s">
        <v>10</v>
      </c>
      <c r="D47" s="24" t="s">
        <v>11</v>
      </c>
      <c r="E47" s="24" t="s">
        <v>23</v>
      </c>
      <c r="F47" s="24" t="s">
        <v>24</v>
      </c>
      <c r="G47" s="24" t="s">
        <v>25</v>
      </c>
      <c r="H47" s="24" t="s">
        <v>63</v>
      </c>
      <c r="I47" s="24" t="s">
        <v>16</v>
      </c>
      <c r="J47" s="24" t="s">
        <v>79</v>
      </c>
      <c r="K47" s="24" t="s">
        <v>58</v>
      </c>
      <c r="L47" s="24" t="s">
        <v>64</v>
      </c>
      <c r="M47" s="14"/>
    </row>
    <row r="48" spans="1:13" x14ac:dyDescent="0.35">
      <c r="A48" t="s">
        <v>26</v>
      </c>
      <c r="B48" t="s">
        <v>54</v>
      </c>
      <c r="C48" s="23"/>
      <c r="D48" s="23"/>
      <c r="E48" s="23"/>
      <c r="F48" s="23"/>
      <c r="G48" s="23"/>
      <c r="H48" s="23">
        <f t="shared" ref="H48:H55" si="14">SUM(C48:G48)</f>
        <v>0</v>
      </c>
      <c r="I48" s="23"/>
      <c r="J48" s="23"/>
      <c r="K48" s="23"/>
      <c r="L48" s="23">
        <f t="shared" ref="L48:L55" si="15">SUM(I48:K48)</f>
        <v>0</v>
      </c>
      <c r="M48" s="14"/>
    </row>
    <row r="49" spans="1:13" x14ac:dyDescent="0.35">
      <c r="A49" t="s">
        <v>26</v>
      </c>
      <c r="B49" t="s">
        <v>40</v>
      </c>
      <c r="C49" s="23"/>
      <c r="D49" s="23"/>
      <c r="E49" s="23"/>
      <c r="F49" s="23"/>
      <c r="G49" s="23"/>
      <c r="H49" s="23">
        <f t="shared" si="14"/>
        <v>0</v>
      </c>
      <c r="I49" s="23"/>
      <c r="J49" s="23"/>
      <c r="K49" s="23"/>
      <c r="L49" s="23">
        <f t="shared" si="15"/>
        <v>0</v>
      </c>
      <c r="M49" s="14"/>
    </row>
    <row r="50" spans="1:13" x14ac:dyDescent="0.35">
      <c r="A50" t="s">
        <v>26</v>
      </c>
      <c r="B50" t="s">
        <v>51</v>
      </c>
      <c r="C50" s="23"/>
      <c r="D50" s="23"/>
      <c r="E50" s="23"/>
      <c r="F50" s="23"/>
      <c r="G50" s="23"/>
      <c r="H50" s="23">
        <f t="shared" si="14"/>
        <v>0</v>
      </c>
      <c r="I50" s="23"/>
      <c r="J50" s="23"/>
      <c r="K50" s="23"/>
      <c r="L50" s="23">
        <f t="shared" si="15"/>
        <v>0</v>
      </c>
      <c r="M50" s="14"/>
    </row>
    <row r="51" spans="1:13" x14ac:dyDescent="0.35">
      <c r="A51" t="s">
        <v>61</v>
      </c>
      <c r="B51" t="s">
        <v>84</v>
      </c>
      <c r="C51" s="23"/>
      <c r="D51" s="23"/>
      <c r="E51" s="23"/>
      <c r="F51" s="23"/>
      <c r="G51" s="23"/>
      <c r="H51" s="23">
        <f t="shared" si="14"/>
        <v>0</v>
      </c>
      <c r="I51" s="23"/>
      <c r="J51" s="23"/>
      <c r="K51" s="23"/>
      <c r="L51" s="23">
        <f t="shared" si="15"/>
        <v>0</v>
      </c>
      <c r="M51" s="14"/>
    </row>
    <row r="52" spans="1:13" x14ac:dyDescent="0.35">
      <c r="A52" t="s">
        <v>61</v>
      </c>
      <c r="B52" t="s">
        <v>84</v>
      </c>
      <c r="C52" s="23"/>
      <c r="D52" s="23"/>
      <c r="E52" s="23"/>
      <c r="F52" s="23"/>
      <c r="G52" s="23"/>
      <c r="H52" s="23">
        <f t="shared" si="14"/>
        <v>0</v>
      </c>
      <c r="I52" s="23"/>
      <c r="J52" s="23"/>
      <c r="K52" s="23"/>
      <c r="L52" s="23">
        <f t="shared" si="15"/>
        <v>0</v>
      </c>
      <c r="M52" s="14"/>
    </row>
    <row r="53" spans="1:13" x14ac:dyDescent="0.35">
      <c r="A53" t="s">
        <v>58</v>
      </c>
      <c r="B53" t="s">
        <v>67</v>
      </c>
      <c r="C53" s="23"/>
      <c r="D53" s="23"/>
      <c r="E53" s="23"/>
      <c r="F53" s="23"/>
      <c r="G53" s="23"/>
      <c r="H53" s="23">
        <f>SUM(C53:G53)</f>
        <v>0</v>
      </c>
      <c r="I53" s="23"/>
      <c r="J53" s="23"/>
      <c r="K53" s="23"/>
      <c r="L53" s="23">
        <f>SUM(I53:K53)</f>
        <v>0</v>
      </c>
      <c r="M53" s="25">
        <f>SUM(H48:H53)-SUM(L48:L53)</f>
        <v>0</v>
      </c>
    </row>
    <row r="54" spans="1:13" x14ac:dyDescent="0.35">
      <c r="A54" t="s">
        <v>66</v>
      </c>
      <c r="B54" t="s">
        <v>23</v>
      </c>
      <c r="C54" s="23"/>
      <c r="D54" s="23"/>
      <c r="E54" s="23"/>
      <c r="F54" s="23"/>
      <c r="G54" s="23"/>
      <c r="H54" s="23">
        <f t="shared" si="14"/>
        <v>0</v>
      </c>
      <c r="I54" s="23"/>
      <c r="J54" s="23"/>
      <c r="K54" s="23"/>
      <c r="L54" s="23">
        <f t="shared" si="15"/>
        <v>0</v>
      </c>
      <c r="M54" s="9">
        <f t="shared" ref="M54:M55" si="16">H54-L54</f>
        <v>0</v>
      </c>
    </row>
    <row r="55" spans="1:13" x14ac:dyDescent="0.35">
      <c r="A55" t="s">
        <v>66</v>
      </c>
      <c r="B55" t="s">
        <v>24</v>
      </c>
      <c r="C55" s="23"/>
      <c r="D55" s="23"/>
      <c r="E55" s="23"/>
      <c r="F55" s="23"/>
      <c r="G55" s="23"/>
      <c r="H55" s="23">
        <f t="shared" si="14"/>
        <v>0</v>
      </c>
      <c r="I55" s="23"/>
      <c r="J55" s="23"/>
      <c r="K55" s="23"/>
      <c r="L55" s="23">
        <f t="shared" si="15"/>
        <v>0</v>
      </c>
      <c r="M55" s="9">
        <f t="shared" si="16"/>
        <v>0</v>
      </c>
    </row>
    <row r="56" spans="1:13" x14ac:dyDescent="0.35">
      <c r="C56" s="23"/>
      <c r="D56" s="23"/>
      <c r="E56" s="23"/>
      <c r="F56" s="23"/>
      <c r="G56" s="23"/>
      <c r="H56" s="23"/>
      <c r="I56" s="23"/>
      <c r="J56" s="23"/>
      <c r="K56" s="23"/>
      <c r="L56" s="14"/>
      <c r="M56" s="14"/>
    </row>
    <row r="57" spans="1:13" s="16" customFormat="1" ht="15" thickBot="1" x14ac:dyDescent="0.4">
      <c r="A57" s="16" t="s">
        <v>21</v>
      </c>
      <c r="C57" s="27">
        <f t="shared" ref="C57:M57" si="17">SUM(C3:C56)</f>
        <v>100</v>
      </c>
      <c r="D57" s="27">
        <f t="shared" si="17"/>
        <v>595</v>
      </c>
      <c r="E57" s="27">
        <f t="shared" si="17"/>
        <v>613.15</v>
      </c>
      <c r="F57" s="27">
        <f t="shared" si="17"/>
        <v>385</v>
      </c>
      <c r="G57" s="27">
        <f t="shared" si="17"/>
        <v>0</v>
      </c>
      <c r="H57" s="27">
        <f t="shared" si="17"/>
        <v>1693.15</v>
      </c>
      <c r="I57" s="27">
        <f t="shared" si="17"/>
        <v>0</v>
      </c>
      <c r="J57" s="27">
        <f t="shared" si="17"/>
        <v>7</v>
      </c>
      <c r="K57" s="27">
        <f t="shared" si="17"/>
        <v>180</v>
      </c>
      <c r="L57" s="27">
        <f t="shared" si="17"/>
        <v>187</v>
      </c>
      <c r="M57" s="27">
        <f t="shared" si="17"/>
        <v>1506.15</v>
      </c>
    </row>
    <row r="58" spans="1:13" ht="15" thickTop="1" x14ac:dyDescent="0.35"/>
  </sheetData>
  <dataValidations count="1">
    <dataValidation type="list" allowBlank="1" showInputMessage="1" showErrorMessage="1" sqref="A51:A53 B48:B50 B25:B26 B10:B13 B3 A14:A20 A26 A28:A32 B37:B39 B43 A40:A43" xr:uid="{C372F557-28D8-4FC2-8BB2-E4FE4A915294}">
      <formula1>members</formula1>
    </dataValidation>
  </dataValidations>
  <printOptions gridLines="1"/>
  <pageMargins left="0.70866141732283472" right="0.70866141732283472" top="0.74803149606299213" bottom="0.74803149606299213" header="0.31496062992125984" footer="0.31496062992125984"/>
  <pageSetup paperSize="9" scale="74" fitToHeight="0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99"/>
  <sheetViews>
    <sheetView zoomScaleNormal="100" workbookViewId="0">
      <pane xSplit="11" ySplit="1" topLeftCell="L62" activePane="bottomRight" state="frozen"/>
      <selection pane="topRight" activeCell="M1" sqref="M1"/>
      <selection pane="bottomLeft" activeCell="A2" sqref="A2"/>
      <selection pane="bottomRight" activeCell="O90" sqref="O90"/>
    </sheetView>
  </sheetViews>
  <sheetFormatPr defaultRowHeight="14.5" x14ac:dyDescent="0.35"/>
  <cols>
    <col min="1" max="1" width="13.1796875" customWidth="1"/>
    <col min="2" max="2" width="39.1796875" customWidth="1"/>
    <col min="3" max="3" width="12.453125" customWidth="1"/>
    <col min="4" max="4" width="11" customWidth="1"/>
    <col min="5" max="5" width="10.7265625" customWidth="1"/>
    <col min="6" max="6" width="11.1796875" customWidth="1"/>
    <col min="7" max="7" width="1.54296875" style="13" customWidth="1"/>
    <col min="8" max="8" width="13.26953125" bestFit="1" customWidth="1"/>
    <col min="9" max="9" width="2.81640625" style="13" hidden="1" customWidth="1"/>
    <col min="10" max="10" width="13.26953125" bestFit="1" customWidth="1"/>
    <col min="11" max="11" width="2.7265625" style="13" customWidth="1"/>
    <col min="12" max="13" width="9.453125" style="14" customWidth="1"/>
    <col min="14" max="14" width="10.81640625" style="14" customWidth="1"/>
    <col min="15" max="15" width="9.54296875" style="14" customWidth="1"/>
    <col min="16" max="17" width="11.1796875" style="14" customWidth="1"/>
    <col min="18" max="18" width="10.54296875" style="14" customWidth="1"/>
    <col min="19" max="19" width="7.54296875" style="14" customWidth="1"/>
    <col min="20" max="20" width="7.81640625" style="14" customWidth="1"/>
    <col min="21" max="21" width="7.54296875" style="14" customWidth="1"/>
    <col min="22" max="22" width="9.54296875" style="14" bestFit="1" customWidth="1"/>
    <col min="23" max="23" width="11.453125" style="14" customWidth="1"/>
    <col min="24" max="24" width="10.54296875" style="9" customWidth="1"/>
    <col min="25" max="25" width="2.81640625" style="13" customWidth="1"/>
    <col min="26" max="28" width="9.54296875" style="23" customWidth="1"/>
    <col min="29" max="29" width="7.81640625" style="23" customWidth="1"/>
    <col min="30" max="30" width="10" style="23" bestFit="1" customWidth="1"/>
    <col min="31" max="31" width="9.6328125" style="23" customWidth="1"/>
    <col min="32" max="33" width="9.54296875" style="23" customWidth="1"/>
    <col min="34" max="34" width="7.81640625" style="23" customWidth="1"/>
    <col min="35" max="35" width="10.54296875" style="26" customWidth="1"/>
    <col min="36" max="36" width="2.81640625" style="13" customWidth="1"/>
  </cols>
  <sheetData>
    <row r="1" spans="1:36" x14ac:dyDescent="0.35">
      <c r="A1" s="7" t="s">
        <v>4</v>
      </c>
      <c r="B1" s="8" t="s">
        <v>5</v>
      </c>
      <c r="C1" s="8" t="s">
        <v>6</v>
      </c>
      <c r="D1" s="9" t="s">
        <v>7</v>
      </c>
      <c r="E1" s="9" t="s">
        <v>8</v>
      </c>
      <c r="F1" s="9" t="s">
        <v>9</v>
      </c>
      <c r="G1" s="11"/>
      <c r="H1" s="9" t="s">
        <v>13</v>
      </c>
      <c r="I1" s="11"/>
      <c r="J1" s="9" t="s">
        <v>13</v>
      </c>
      <c r="K1" s="11"/>
      <c r="L1" s="9" t="s">
        <v>76</v>
      </c>
      <c r="M1" s="9" t="s">
        <v>14</v>
      </c>
      <c r="N1" s="39" t="s">
        <v>15</v>
      </c>
      <c r="O1" s="39" t="s">
        <v>10</v>
      </c>
      <c r="P1" s="39" t="s">
        <v>11</v>
      </c>
      <c r="Q1" s="39" t="s">
        <v>141</v>
      </c>
      <c r="R1" s="39" t="s">
        <v>78</v>
      </c>
      <c r="S1" s="39" t="s">
        <v>85</v>
      </c>
      <c r="T1" s="39" t="s">
        <v>23</v>
      </c>
      <c r="U1" s="39" t="s">
        <v>16</v>
      </c>
      <c r="V1" s="39" t="s">
        <v>230</v>
      </c>
      <c r="W1" s="39" t="s">
        <v>22</v>
      </c>
      <c r="X1" s="39" t="s">
        <v>12</v>
      </c>
      <c r="Y1" s="40"/>
      <c r="Z1" s="41" t="s">
        <v>142</v>
      </c>
      <c r="AA1" s="41" t="s">
        <v>16</v>
      </c>
      <c r="AB1" s="41" t="s">
        <v>18</v>
      </c>
      <c r="AC1" s="41" t="s">
        <v>17</v>
      </c>
      <c r="AD1" s="41" t="s">
        <v>19</v>
      </c>
      <c r="AE1" s="41" t="s">
        <v>20</v>
      </c>
      <c r="AF1" s="41" t="s">
        <v>77</v>
      </c>
      <c r="AG1" s="41" t="s">
        <v>285</v>
      </c>
      <c r="AH1" s="41" t="s">
        <v>82</v>
      </c>
      <c r="AI1" s="41" t="s">
        <v>12</v>
      </c>
      <c r="AJ1" s="11"/>
    </row>
    <row r="2" spans="1:36" x14ac:dyDescent="0.35">
      <c r="A2" s="1">
        <v>45504</v>
      </c>
      <c r="B2" s="2" t="s">
        <v>1</v>
      </c>
      <c r="C2" s="2" t="s">
        <v>2</v>
      </c>
      <c r="D2" s="3"/>
      <c r="E2" s="3"/>
      <c r="F2" s="3">
        <v>21053.72</v>
      </c>
      <c r="G2" s="12"/>
      <c r="H2" s="10">
        <f t="shared" ref="H2:H33" si="0">D2-X2</f>
        <v>0</v>
      </c>
      <c r="I2" s="12"/>
      <c r="J2" s="10">
        <f t="shared" ref="J2:J33" si="1">E2-AI2</f>
        <v>0</v>
      </c>
      <c r="K2" s="12"/>
      <c r="X2" s="9">
        <f t="shared" ref="X2:X33" si="2">SUM(L2:W2)</f>
        <v>0</v>
      </c>
      <c r="Y2" s="12"/>
      <c r="AI2" s="26">
        <f t="shared" ref="AI2:AI25" si="3">SUM(Z2:AH2)</f>
        <v>0</v>
      </c>
      <c r="AJ2" s="12"/>
    </row>
    <row r="3" spans="1:36" x14ac:dyDescent="0.35">
      <c r="A3" s="1">
        <v>45897</v>
      </c>
      <c r="B3" s="2" t="s">
        <v>174</v>
      </c>
      <c r="C3" s="2" t="s">
        <v>0</v>
      </c>
      <c r="D3" s="3">
        <v>325</v>
      </c>
      <c r="E3" s="3"/>
      <c r="F3" s="3">
        <f>F2+D3-E3</f>
        <v>21378.720000000001</v>
      </c>
      <c r="G3" s="12"/>
      <c r="H3" s="10">
        <f t="shared" si="0"/>
        <v>0</v>
      </c>
      <c r="I3" s="12"/>
      <c r="J3" s="10">
        <f t="shared" si="1"/>
        <v>0</v>
      </c>
      <c r="K3" s="12"/>
      <c r="O3" s="14">
        <v>200</v>
      </c>
      <c r="P3" s="14">
        <v>125</v>
      </c>
      <c r="X3" s="9">
        <f t="shared" si="2"/>
        <v>325</v>
      </c>
      <c r="Y3" s="12"/>
      <c r="Z3" s="42"/>
      <c r="AA3" s="42"/>
      <c r="AB3" s="42"/>
      <c r="AC3" s="42"/>
      <c r="AD3" s="42"/>
      <c r="AE3" s="42"/>
      <c r="AF3" s="42"/>
      <c r="AG3" s="42"/>
      <c r="AH3" s="42"/>
      <c r="AI3" s="26">
        <f t="shared" si="3"/>
        <v>0</v>
      </c>
      <c r="AJ3" s="12"/>
    </row>
    <row r="4" spans="1:36" x14ac:dyDescent="0.35">
      <c r="A4" s="1">
        <v>45897</v>
      </c>
      <c r="B4" s="2" t="s">
        <v>3</v>
      </c>
      <c r="C4" s="2" t="s">
        <v>0</v>
      </c>
      <c r="D4" s="3">
        <v>200</v>
      </c>
      <c r="E4" s="3"/>
      <c r="F4" s="3">
        <f t="shared" ref="F4:F67" si="4">F3+D4-E4</f>
        <v>21578.720000000001</v>
      </c>
      <c r="G4" s="12"/>
      <c r="H4" s="10">
        <f t="shared" si="0"/>
        <v>0</v>
      </c>
      <c r="I4" s="12"/>
      <c r="J4" s="10">
        <f t="shared" si="1"/>
        <v>0</v>
      </c>
      <c r="K4" s="12"/>
      <c r="O4" s="14">
        <v>200</v>
      </c>
      <c r="X4" s="9">
        <f t="shared" si="2"/>
        <v>200</v>
      </c>
      <c r="Y4" s="12"/>
      <c r="AI4" s="26">
        <f t="shared" si="3"/>
        <v>0</v>
      </c>
      <c r="AJ4" s="12"/>
    </row>
    <row r="5" spans="1:36" x14ac:dyDescent="0.35">
      <c r="A5" s="1">
        <v>45897</v>
      </c>
      <c r="B5" s="2" t="s">
        <v>178</v>
      </c>
      <c r="C5" s="2" t="s">
        <v>0</v>
      </c>
      <c r="D5" s="3">
        <v>325</v>
      </c>
      <c r="E5" s="3"/>
      <c r="F5" s="3">
        <f t="shared" si="4"/>
        <v>21903.72</v>
      </c>
      <c r="G5" s="12"/>
      <c r="H5" s="10">
        <f t="shared" si="0"/>
        <v>0</v>
      </c>
      <c r="I5" s="12"/>
      <c r="J5" s="10">
        <f t="shared" si="1"/>
        <v>0</v>
      </c>
      <c r="K5" s="12"/>
      <c r="O5" s="14">
        <v>200</v>
      </c>
      <c r="P5" s="14">
        <v>125</v>
      </c>
      <c r="X5" s="9">
        <f t="shared" si="2"/>
        <v>325</v>
      </c>
      <c r="Y5" s="12"/>
      <c r="AI5" s="26">
        <f t="shared" si="3"/>
        <v>0</v>
      </c>
      <c r="AJ5" s="12"/>
    </row>
    <row r="6" spans="1:36" x14ac:dyDescent="0.35">
      <c r="A6" s="1">
        <v>45898</v>
      </c>
      <c r="B6" s="2" t="s">
        <v>179</v>
      </c>
      <c r="C6" s="2" t="s">
        <v>0</v>
      </c>
      <c r="D6" s="3">
        <v>325</v>
      </c>
      <c r="E6" s="3"/>
      <c r="F6" s="3">
        <f t="shared" si="4"/>
        <v>22228.720000000001</v>
      </c>
      <c r="G6" s="12"/>
      <c r="H6" s="10">
        <f t="shared" si="0"/>
        <v>0</v>
      </c>
      <c r="I6" s="12"/>
      <c r="J6" s="10">
        <f t="shared" si="1"/>
        <v>0</v>
      </c>
      <c r="K6" s="12"/>
      <c r="O6" s="14">
        <v>200</v>
      </c>
      <c r="P6" s="14">
        <v>125</v>
      </c>
      <c r="X6" s="9">
        <f t="shared" si="2"/>
        <v>325</v>
      </c>
      <c r="Y6" s="12"/>
      <c r="AI6" s="26">
        <f t="shared" si="3"/>
        <v>0</v>
      </c>
      <c r="AJ6" s="12"/>
    </row>
    <row r="7" spans="1:36" x14ac:dyDescent="0.35">
      <c r="A7" s="1">
        <v>45898</v>
      </c>
      <c r="B7" s="2" t="s">
        <v>18</v>
      </c>
      <c r="C7" s="2" t="s">
        <v>180</v>
      </c>
      <c r="D7" s="3"/>
      <c r="E7" s="3">
        <v>2393.1999999999998</v>
      </c>
      <c r="F7" s="3">
        <f t="shared" si="4"/>
        <v>19835.52</v>
      </c>
      <c r="G7" s="12"/>
      <c r="H7" s="10">
        <f t="shared" si="0"/>
        <v>0</v>
      </c>
      <c r="I7" s="12"/>
      <c r="J7" s="10">
        <f t="shared" si="1"/>
        <v>0</v>
      </c>
      <c r="K7" s="12"/>
      <c r="X7" s="9">
        <f t="shared" si="2"/>
        <v>0</v>
      </c>
      <c r="Y7" s="12"/>
      <c r="AB7" s="23">
        <v>2393.1999999999998</v>
      </c>
      <c r="AI7" s="26">
        <f t="shared" si="3"/>
        <v>2393.1999999999998</v>
      </c>
      <c r="AJ7" s="12"/>
    </row>
    <row r="8" spans="1:36" x14ac:dyDescent="0.35">
      <c r="A8" s="1">
        <v>45898</v>
      </c>
      <c r="B8" s="2" t="s">
        <v>17</v>
      </c>
      <c r="C8" s="2" t="s">
        <v>180</v>
      </c>
      <c r="D8" s="3"/>
      <c r="E8" s="3">
        <v>556</v>
      </c>
      <c r="F8" s="3">
        <f t="shared" si="4"/>
        <v>19279.52</v>
      </c>
      <c r="G8" s="12"/>
      <c r="H8" s="10">
        <f t="shared" si="0"/>
        <v>0</v>
      </c>
      <c r="I8" s="12"/>
      <c r="J8" s="10">
        <f t="shared" si="1"/>
        <v>0</v>
      </c>
      <c r="K8" s="12"/>
      <c r="X8" s="9">
        <f t="shared" si="2"/>
        <v>0</v>
      </c>
      <c r="Y8" s="12"/>
      <c r="AC8" s="23">
        <v>556</v>
      </c>
      <c r="AI8" s="26">
        <f t="shared" si="3"/>
        <v>556</v>
      </c>
      <c r="AJ8" s="12"/>
    </row>
    <row r="9" spans="1:36" x14ac:dyDescent="0.35">
      <c r="A9" s="1">
        <v>45898</v>
      </c>
      <c r="B9" s="2" t="s">
        <v>182</v>
      </c>
      <c r="C9" s="2" t="s">
        <v>0</v>
      </c>
      <c r="D9" s="3">
        <v>325</v>
      </c>
      <c r="E9" s="3"/>
      <c r="F9" s="3">
        <f t="shared" si="4"/>
        <v>19604.52</v>
      </c>
      <c r="G9" s="12"/>
      <c r="H9" s="10">
        <f t="shared" si="0"/>
        <v>0</v>
      </c>
      <c r="I9" s="12"/>
      <c r="J9" s="10">
        <f t="shared" si="1"/>
        <v>0</v>
      </c>
      <c r="K9" s="12"/>
      <c r="O9" s="14">
        <v>200</v>
      </c>
      <c r="P9" s="14">
        <v>125</v>
      </c>
      <c r="X9" s="9">
        <f t="shared" si="2"/>
        <v>325</v>
      </c>
      <c r="Y9" s="12"/>
      <c r="AI9" s="26">
        <f t="shared" si="3"/>
        <v>0</v>
      </c>
      <c r="AJ9" s="12"/>
    </row>
    <row r="10" spans="1:36" x14ac:dyDescent="0.35">
      <c r="A10" s="1">
        <v>45898</v>
      </c>
      <c r="B10" s="2" t="s">
        <v>185</v>
      </c>
      <c r="C10" s="2" t="s">
        <v>0</v>
      </c>
      <c r="D10" s="3">
        <v>200</v>
      </c>
      <c r="E10" s="3"/>
      <c r="F10" s="3">
        <f t="shared" ref="F10" si="5">F9+D10-E10</f>
        <v>19804.52</v>
      </c>
      <c r="G10" s="12"/>
      <c r="H10" s="10">
        <f t="shared" ref="H10" si="6">D10-X10</f>
        <v>0</v>
      </c>
      <c r="I10" s="12"/>
      <c r="J10" s="10">
        <f t="shared" ref="J10" si="7">E10-AI10</f>
        <v>0</v>
      </c>
      <c r="K10" s="12"/>
      <c r="O10" s="14">
        <v>200</v>
      </c>
      <c r="X10" s="9">
        <f t="shared" ref="X10" si="8">SUM(L10:W10)</f>
        <v>200</v>
      </c>
      <c r="Y10" s="12"/>
      <c r="AI10" s="26">
        <f t="shared" ref="AI10" si="9">SUM(Z10:AH10)</f>
        <v>0</v>
      </c>
      <c r="AJ10" s="12"/>
    </row>
    <row r="11" spans="1:36" x14ac:dyDescent="0.35">
      <c r="A11" s="1">
        <v>45898</v>
      </c>
      <c r="B11" s="2" t="s">
        <v>186</v>
      </c>
      <c r="C11" s="2" t="s">
        <v>0</v>
      </c>
      <c r="D11" s="3">
        <v>325</v>
      </c>
      <c r="E11" s="3"/>
      <c r="F11" s="3">
        <f t="shared" ref="F11" si="10">F10+D11-E11</f>
        <v>20129.52</v>
      </c>
      <c r="G11" s="12"/>
      <c r="H11" s="10">
        <f t="shared" ref="H11" si="11">D11-X11</f>
        <v>0</v>
      </c>
      <c r="I11" s="12"/>
      <c r="J11" s="10">
        <f t="shared" ref="J11" si="12">E11-AI11</f>
        <v>0</v>
      </c>
      <c r="K11" s="12"/>
      <c r="O11" s="14">
        <v>200</v>
      </c>
      <c r="P11" s="14">
        <v>125</v>
      </c>
      <c r="X11" s="9">
        <f t="shared" ref="X11" si="13">SUM(L11:W11)</f>
        <v>325</v>
      </c>
      <c r="Y11" s="12"/>
      <c r="AI11" s="26">
        <f t="shared" ref="AI11" si="14">SUM(Z11:AH11)</f>
        <v>0</v>
      </c>
      <c r="AJ11" s="12"/>
    </row>
    <row r="12" spans="1:36" x14ac:dyDescent="0.35">
      <c r="A12" s="1">
        <v>45898</v>
      </c>
      <c r="B12" s="2" t="s">
        <v>190</v>
      </c>
      <c r="C12" s="2"/>
      <c r="D12" s="3">
        <v>325</v>
      </c>
      <c r="E12" s="3"/>
      <c r="F12" s="3">
        <f t="shared" si="4"/>
        <v>20454.52</v>
      </c>
      <c r="G12" s="12"/>
      <c r="H12" s="10">
        <f t="shared" si="0"/>
        <v>0</v>
      </c>
      <c r="I12" s="12"/>
      <c r="J12" s="10">
        <f t="shared" si="1"/>
        <v>0</v>
      </c>
      <c r="K12" s="12"/>
      <c r="O12" s="14">
        <v>200</v>
      </c>
      <c r="P12" s="14">
        <v>125</v>
      </c>
      <c r="X12" s="9">
        <f t="shared" si="2"/>
        <v>325</v>
      </c>
      <c r="Y12" s="12"/>
      <c r="AI12" s="26">
        <f t="shared" si="3"/>
        <v>0</v>
      </c>
      <c r="AJ12" s="12"/>
    </row>
    <row r="13" spans="1:36" x14ac:dyDescent="0.35">
      <c r="A13" s="1">
        <v>45902</v>
      </c>
      <c r="B13" s="5" t="s">
        <v>197</v>
      </c>
      <c r="C13" s="5" t="s">
        <v>0</v>
      </c>
      <c r="D13" s="5">
        <v>325</v>
      </c>
      <c r="E13" s="5"/>
      <c r="F13" s="6">
        <f t="shared" si="4"/>
        <v>20779.52</v>
      </c>
      <c r="G13" s="12"/>
      <c r="H13" s="10">
        <f t="shared" si="0"/>
        <v>0</v>
      </c>
      <c r="I13" s="12"/>
      <c r="J13" s="10">
        <f t="shared" si="1"/>
        <v>0</v>
      </c>
      <c r="K13" s="12"/>
      <c r="O13" s="14">
        <v>200</v>
      </c>
      <c r="P13" s="14">
        <v>125</v>
      </c>
      <c r="X13" s="9">
        <f t="shared" si="2"/>
        <v>325</v>
      </c>
      <c r="Y13" s="12"/>
      <c r="AI13" s="26">
        <f t="shared" si="3"/>
        <v>0</v>
      </c>
      <c r="AJ13" s="12"/>
    </row>
    <row r="14" spans="1:36" x14ac:dyDescent="0.35">
      <c r="A14" s="1">
        <v>45904</v>
      </c>
      <c r="B14" s="5" t="s">
        <v>198</v>
      </c>
      <c r="C14" s="5" t="s">
        <v>199</v>
      </c>
      <c r="D14" s="5"/>
      <c r="E14" s="5">
        <v>555</v>
      </c>
      <c r="F14" s="6">
        <f t="shared" si="4"/>
        <v>20224.52</v>
      </c>
      <c r="G14" s="12"/>
      <c r="H14" s="10">
        <f t="shared" si="0"/>
        <v>0</v>
      </c>
      <c r="I14" s="12"/>
      <c r="J14" s="10">
        <f t="shared" si="1"/>
        <v>0</v>
      </c>
      <c r="K14" s="12"/>
      <c r="X14" s="9">
        <f t="shared" si="2"/>
        <v>0</v>
      </c>
      <c r="Y14" s="12"/>
      <c r="AE14" s="23">
        <v>555</v>
      </c>
      <c r="AI14" s="26">
        <f t="shared" si="3"/>
        <v>555</v>
      </c>
      <c r="AJ14" s="12"/>
    </row>
    <row r="15" spans="1:36" x14ac:dyDescent="0.35">
      <c r="A15" s="1">
        <v>45904</v>
      </c>
      <c r="B15" s="5" t="s">
        <v>200</v>
      </c>
      <c r="C15" s="5" t="s">
        <v>0</v>
      </c>
      <c r="D15" s="5">
        <v>325</v>
      </c>
      <c r="E15" s="5"/>
      <c r="F15" s="6">
        <f t="shared" si="4"/>
        <v>20549.52</v>
      </c>
      <c r="G15" s="12"/>
      <c r="H15" s="10">
        <f t="shared" si="0"/>
        <v>0</v>
      </c>
      <c r="I15" s="12"/>
      <c r="J15" s="10">
        <f t="shared" si="1"/>
        <v>0</v>
      </c>
      <c r="K15" s="12"/>
      <c r="O15" s="14">
        <v>200</v>
      </c>
      <c r="P15" s="14">
        <v>125</v>
      </c>
      <c r="X15" s="9">
        <f t="shared" si="2"/>
        <v>325</v>
      </c>
      <c r="Y15" s="12"/>
      <c r="AI15" s="26">
        <f t="shared" si="3"/>
        <v>0</v>
      </c>
      <c r="AJ15" s="12"/>
    </row>
    <row r="16" spans="1:36" x14ac:dyDescent="0.35">
      <c r="A16" s="1">
        <v>45905</v>
      </c>
      <c r="B16" s="5" t="s">
        <v>201</v>
      </c>
      <c r="C16" s="5" t="s">
        <v>0</v>
      </c>
      <c r="D16" s="5">
        <v>200</v>
      </c>
      <c r="E16" s="5"/>
      <c r="F16" s="6">
        <f t="shared" si="4"/>
        <v>20749.52</v>
      </c>
      <c r="G16" s="12"/>
      <c r="H16" s="10">
        <f t="shared" si="0"/>
        <v>0</v>
      </c>
      <c r="I16" s="12"/>
      <c r="J16" s="10">
        <f t="shared" si="1"/>
        <v>0</v>
      </c>
      <c r="K16" s="12"/>
      <c r="O16" s="14">
        <v>200</v>
      </c>
      <c r="X16" s="9">
        <f t="shared" si="2"/>
        <v>200</v>
      </c>
      <c r="Y16" s="12"/>
      <c r="AI16" s="26">
        <f t="shared" si="3"/>
        <v>0</v>
      </c>
      <c r="AJ16" s="12"/>
    </row>
    <row r="17" spans="1:36" x14ac:dyDescent="0.35">
      <c r="A17" s="1">
        <v>45909</v>
      </c>
      <c r="B17" s="5" t="s">
        <v>202</v>
      </c>
      <c r="C17" s="5" t="s">
        <v>0</v>
      </c>
      <c r="D17" s="5">
        <v>30</v>
      </c>
      <c r="E17" s="5"/>
      <c r="F17" s="6">
        <f t="shared" si="4"/>
        <v>20779.52</v>
      </c>
      <c r="G17" s="12"/>
      <c r="H17" s="10">
        <f t="shared" si="0"/>
        <v>0</v>
      </c>
      <c r="I17" s="12"/>
      <c r="J17" s="10">
        <f t="shared" si="1"/>
        <v>0</v>
      </c>
      <c r="K17" s="12"/>
      <c r="P17" s="14">
        <v>30</v>
      </c>
      <c r="X17" s="9">
        <f t="shared" si="2"/>
        <v>30</v>
      </c>
      <c r="Y17" s="12"/>
      <c r="AI17" s="26">
        <f t="shared" si="3"/>
        <v>0</v>
      </c>
      <c r="AJ17" s="12"/>
    </row>
    <row r="18" spans="1:36" x14ac:dyDescent="0.35">
      <c r="A18" s="1">
        <v>45909</v>
      </c>
      <c r="B18" s="5" t="s">
        <v>203</v>
      </c>
      <c r="C18" s="5" t="s">
        <v>0</v>
      </c>
      <c r="D18" s="5">
        <v>325</v>
      </c>
      <c r="E18" s="5"/>
      <c r="F18" s="6">
        <f t="shared" si="4"/>
        <v>21104.52</v>
      </c>
      <c r="G18" s="12"/>
      <c r="H18" s="10">
        <f t="shared" si="0"/>
        <v>0</v>
      </c>
      <c r="I18" s="12"/>
      <c r="J18" s="10">
        <f t="shared" si="1"/>
        <v>0</v>
      </c>
      <c r="K18" s="12"/>
      <c r="O18" s="14">
        <v>200</v>
      </c>
      <c r="P18" s="14">
        <v>125</v>
      </c>
      <c r="X18" s="9">
        <f t="shared" si="2"/>
        <v>325</v>
      </c>
      <c r="Y18" s="12"/>
      <c r="AI18" s="26">
        <f t="shared" si="3"/>
        <v>0</v>
      </c>
      <c r="AJ18" s="12"/>
    </row>
    <row r="19" spans="1:36" x14ac:dyDescent="0.35">
      <c r="A19" s="1">
        <v>45912</v>
      </c>
      <c r="B19" s="5" t="s">
        <v>3</v>
      </c>
      <c r="C19" s="5" t="s">
        <v>0</v>
      </c>
      <c r="D19" s="5">
        <v>30</v>
      </c>
      <c r="E19" s="5"/>
      <c r="F19" s="6">
        <f t="shared" si="4"/>
        <v>21134.52</v>
      </c>
      <c r="G19" s="12"/>
      <c r="H19" s="10">
        <f t="shared" si="0"/>
        <v>0</v>
      </c>
      <c r="I19" s="12"/>
      <c r="J19" s="10">
        <f t="shared" si="1"/>
        <v>0</v>
      </c>
      <c r="K19" s="12"/>
      <c r="O19" s="15"/>
      <c r="P19" s="15"/>
      <c r="Q19" s="15">
        <v>30</v>
      </c>
      <c r="R19" s="15"/>
      <c r="S19" s="15"/>
      <c r="T19" s="15"/>
      <c r="U19" s="15"/>
      <c r="V19" s="15"/>
      <c r="W19" s="15"/>
      <c r="X19" s="9">
        <f t="shared" si="2"/>
        <v>30</v>
      </c>
      <c r="Y19" s="12"/>
      <c r="AI19" s="26">
        <f t="shared" si="3"/>
        <v>0</v>
      </c>
      <c r="AJ19" s="12"/>
    </row>
    <row r="20" spans="1:36" x14ac:dyDescent="0.35">
      <c r="A20" s="1">
        <v>45912</v>
      </c>
      <c r="B20" s="5" t="s">
        <v>204</v>
      </c>
      <c r="C20" s="5" t="s">
        <v>0</v>
      </c>
      <c r="D20" s="5">
        <v>325</v>
      </c>
      <c r="E20" s="5"/>
      <c r="F20" s="6">
        <f t="shared" si="4"/>
        <v>21459.52</v>
      </c>
      <c r="G20" s="12"/>
      <c r="H20" s="10">
        <f t="shared" si="0"/>
        <v>0</v>
      </c>
      <c r="I20" s="12"/>
      <c r="J20" s="10">
        <f t="shared" si="1"/>
        <v>0</v>
      </c>
      <c r="K20" s="12"/>
      <c r="O20" s="15">
        <v>200</v>
      </c>
      <c r="P20" s="14">
        <v>125</v>
      </c>
      <c r="X20" s="9">
        <f t="shared" si="2"/>
        <v>325</v>
      </c>
      <c r="Y20" s="12"/>
      <c r="AI20" s="26">
        <f t="shared" si="3"/>
        <v>0</v>
      </c>
      <c r="AJ20" s="12"/>
    </row>
    <row r="21" spans="1:36" x14ac:dyDescent="0.35">
      <c r="A21" s="1">
        <v>45919</v>
      </c>
      <c r="B21" s="5" t="s">
        <v>205</v>
      </c>
      <c r="C21" s="5" t="s">
        <v>0</v>
      </c>
      <c r="D21" s="5">
        <v>15</v>
      </c>
      <c r="E21" s="5"/>
      <c r="F21" s="6">
        <f t="shared" si="4"/>
        <v>21474.52</v>
      </c>
      <c r="G21" s="12"/>
      <c r="H21" s="10">
        <f t="shared" si="0"/>
        <v>0</v>
      </c>
      <c r="I21" s="12"/>
      <c r="J21" s="10">
        <f t="shared" si="1"/>
        <v>0</v>
      </c>
      <c r="K21" s="12"/>
      <c r="L21" s="14">
        <v>15</v>
      </c>
      <c r="O21" s="15"/>
      <c r="X21" s="9">
        <f t="shared" si="2"/>
        <v>15</v>
      </c>
      <c r="Y21" s="12"/>
      <c r="AI21" s="26">
        <f t="shared" si="3"/>
        <v>0</v>
      </c>
      <c r="AJ21" s="12"/>
    </row>
    <row r="22" spans="1:36" x14ac:dyDescent="0.35">
      <c r="A22" s="1">
        <v>45919</v>
      </c>
      <c r="B22" s="5" t="s">
        <v>206</v>
      </c>
      <c r="C22" s="5" t="s">
        <v>0</v>
      </c>
      <c r="D22" s="5">
        <v>95</v>
      </c>
      <c r="E22" s="5"/>
      <c r="F22" s="6">
        <f t="shared" si="4"/>
        <v>21569.52</v>
      </c>
      <c r="G22" s="12"/>
      <c r="H22" s="10">
        <f t="shared" si="0"/>
        <v>0</v>
      </c>
      <c r="I22" s="12"/>
      <c r="J22" s="10">
        <f t="shared" si="1"/>
        <v>0</v>
      </c>
      <c r="K22" s="12"/>
      <c r="L22" s="14">
        <v>95</v>
      </c>
      <c r="X22" s="9">
        <f t="shared" si="2"/>
        <v>95</v>
      </c>
      <c r="Y22" s="12"/>
      <c r="AI22" s="26">
        <f t="shared" si="3"/>
        <v>0</v>
      </c>
      <c r="AJ22" s="12"/>
    </row>
    <row r="23" spans="1:36" x14ac:dyDescent="0.35">
      <c r="A23" s="1">
        <v>45919</v>
      </c>
      <c r="B23" s="5" t="s">
        <v>207</v>
      </c>
      <c r="C23" s="5" t="s">
        <v>199</v>
      </c>
      <c r="D23" s="5"/>
      <c r="E23" s="5">
        <v>624</v>
      </c>
      <c r="F23" s="6">
        <f t="shared" si="4"/>
        <v>20945.52</v>
      </c>
      <c r="G23" s="12"/>
      <c r="H23" s="10">
        <f t="shared" si="0"/>
        <v>0</v>
      </c>
      <c r="I23" s="12"/>
      <c r="J23" s="10">
        <f t="shared" si="1"/>
        <v>0</v>
      </c>
      <c r="K23" s="12"/>
      <c r="X23" s="9">
        <f t="shared" si="2"/>
        <v>0</v>
      </c>
      <c r="Y23" s="12"/>
      <c r="AF23" s="23">
        <v>624</v>
      </c>
      <c r="AI23" s="26">
        <f t="shared" si="3"/>
        <v>624</v>
      </c>
      <c r="AJ23" s="12"/>
    </row>
    <row r="24" spans="1:36" x14ac:dyDescent="0.35">
      <c r="A24" s="1">
        <v>45919</v>
      </c>
      <c r="B24" s="5" t="s">
        <v>208</v>
      </c>
      <c r="C24" s="5" t="s">
        <v>0</v>
      </c>
      <c r="D24" s="5">
        <v>155</v>
      </c>
      <c r="E24" s="5"/>
      <c r="F24" s="6">
        <f t="shared" si="4"/>
        <v>21100.52</v>
      </c>
      <c r="G24" s="12"/>
      <c r="H24" s="10">
        <f t="shared" si="0"/>
        <v>0</v>
      </c>
      <c r="I24" s="12"/>
      <c r="J24" s="10">
        <f t="shared" si="1"/>
        <v>0</v>
      </c>
      <c r="K24" s="12"/>
      <c r="L24" s="14">
        <v>155</v>
      </c>
      <c r="X24" s="9">
        <f t="shared" si="2"/>
        <v>155</v>
      </c>
      <c r="Y24" s="12"/>
      <c r="AI24" s="26">
        <f t="shared" si="3"/>
        <v>0</v>
      </c>
      <c r="AJ24" s="12"/>
    </row>
    <row r="25" spans="1:36" x14ac:dyDescent="0.35">
      <c r="A25" s="1">
        <v>45919</v>
      </c>
      <c r="B25" s="5" t="s">
        <v>209</v>
      </c>
      <c r="C25" s="5" t="s">
        <v>0</v>
      </c>
      <c r="D25" s="5">
        <v>350</v>
      </c>
      <c r="E25" s="5"/>
      <c r="F25" s="6">
        <f t="shared" si="4"/>
        <v>21450.52</v>
      </c>
      <c r="G25" s="12"/>
      <c r="H25" s="10">
        <f t="shared" si="0"/>
        <v>0</v>
      </c>
      <c r="I25" s="12"/>
      <c r="J25" s="10">
        <f t="shared" si="1"/>
        <v>0</v>
      </c>
      <c r="K25" s="12"/>
      <c r="M25" s="14">
        <v>25</v>
      </c>
      <c r="O25" s="14">
        <v>200</v>
      </c>
      <c r="P25" s="14">
        <v>125</v>
      </c>
      <c r="X25" s="9">
        <f t="shared" si="2"/>
        <v>350</v>
      </c>
      <c r="Y25" s="12"/>
      <c r="AI25" s="26">
        <f t="shared" si="3"/>
        <v>0</v>
      </c>
      <c r="AJ25" s="12"/>
    </row>
    <row r="26" spans="1:36" x14ac:dyDescent="0.35">
      <c r="A26" s="1">
        <v>45919</v>
      </c>
      <c r="B26" s="5" t="s">
        <v>210</v>
      </c>
      <c r="C26" s="5" t="s">
        <v>0</v>
      </c>
      <c r="D26" s="5">
        <v>30</v>
      </c>
      <c r="E26" s="5"/>
      <c r="F26" s="6">
        <f t="shared" si="4"/>
        <v>21480.52</v>
      </c>
      <c r="G26" s="12"/>
      <c r="H26" s="10">
        <f t="shared" si="0"/>
        <v>0</v>
      </c>
      <c r="I26" s="12"/>
      <c r="J26" s="10">
        <f t="shared" si="1"/>
        <v>0</v>
      </c>
      <c r="K26" s="12"/>
      <c r="P26" s="14">
        <v>30</v>
      </c>
      <c r="X26" s="9">
        <f t="shared" si="2"/>
        <v>30</v>
      </c>
      <c r="Y26" s="12"/>
      <c r="AI26" s="26">
        <f t="shared" ref="AI26:AI57" si="15">SUM(Z26:AH26)</f>
        <v>0</v>
      </c>
      <c r="AJ26" s="12"/>
    </row>
    <row r="27" spans="1:36" x14ac:dyDescent="0.35">
      <c r="A27" s="1">
        <v>45922</v>
      </c>
      <c r="B27" s="5" t="s">
        <v>211</v>
      </c>
      <c r="C27" s="5" t="s">
        <v>0</v>
      </c>
      <c r="D27" s="5">
        <v>88.48</v>
      </c>
      <c r="E27" s="5"/>
      <c r="F27" s="6">
        <f t="shared" si="4"/>
        <v>21569</v>
      </c>
      <c r="G27" s="12"/>
      <c r="H27" s="10">
        <f t="shared" si="0"/>
        <v>0</v>
      </c>
      <c r="I27" s="12"/>
      <c r="J27" s="10">
        <f t="shared" si="1"/>
        <v>0</v>
      </c>
      <c r="K27" s="12"/>
      <c r="P27" s="14">
        <v>88.48</v>
      </c>
      <c r="X27" s="9">
        <f t="shared" si="2"/>
        <v>88.48</v>
      </c>
      <c r="Y27" s="12"/>
      <c r="AI27" s="26">
        <f t="shared" si="15"/>
        <v>0</v>
      </c>
      <c r="AJ27" s="12"/>
    </row>
    <row r="28" spans="1:36" x14ac:dyDescent="0.35">
      <c r="A28" s="1">
        <v>45922</v>
      </c>
      <c r="B28" s="5" t="s">
        <v>212</v>
      </c>
      <c r="C28" s="5" t="s">
        <v>0</v>
      </c>
      <c r="D28" s="5">
        <v>200</v>
      </c>
      <c r="E28" s="5"/>
      <c r="F28" s="6">
        <f t="shared" si="4"/>
        <v>21769</v>
      </c>
      <c r="G28" s="12"/>
      <c r="H28" s="10">
        <f t="shared" si="0"/>
        <v>0</v>
      </c>
      <c r="I28" s="12"/>
      <c r="J28" s="10">
        <f t="shared" si="1"/>
        <v>0</v>
      </c>
      <c r="K28" s="12"/>
      <c r="O28" s="14">
        <v>200</v>
      </c>
      <c r="X28" s="9">
        <f t="shared" si="2"/>
        <v>200</v>
      </c>
      <c r="Y28" s="12"/>
      <c r="AI28" s="26">
        <f t="shared" si="15"/>
        <v>0</v>
      </c>
      <c r="AJ28" s="12"/>
    </row>
    <row r="29" spans="1:36" x14ac:dyDescent="0.35">
      <c r="A29" s="1">
        <v>45938</v>
      </c>
      <c r="B29" s="2" t="s">
        <v>213</v>
      </c>
      <c r="C29" s="2" t="s">
        <v>0</v>
      </c>
      <c r="D29" s="2">
        <v>10</v>
      </c>
      <c r="E29" s="2"/>
      <c r="F29" s="3">
        <f t="shared" si="4"/>
        <v>21779</v>
      </c>
      <c r="G29" s="12"/>
      <c r="H29" s="10">
        <f t="shared" si="0"/>
        <v>0</v>
      </c>
      <c r="I29" s="12"/>
      <c r="J29" s="10">
        <f t="shared" si="1"/>
        <v>0</v>
      </c>
      <c r="K29" s="12"/>
      <c r="W29" s="14">
        <v>10</v>
      </c>
      <c r="X29" s="9">
        <f t="shared" si="2"/>
        <v>10</v>
      </c>
      <c r="Y29" s="12"/>
      <c r="AI29" s="26">
        <f t="shared" si="15"/>
        <v>0</v>
      </c>
      <c r="AJ29" s="12"/>
    </row>
    <row r="30" spans="1:36" x14ac:dyDescent="0.35">
      <c r="A30" s="1">
        <v>45944</v>
      </c>
      <c r="B30" s="2" t="s">
        <v>214</v>
      </c>
      <c r="C30" s="2" t="s">
        <v>0</v>
      </c>
      <c r="D30" s="2">
        <v>200</v>
      </c>
      <c r="E30" s="2"/>
      <c r="F30" s="3">
        <f t="shared" si="4"/>
        <v>21979</v>
      </c>
      <c r="G30" s="12"/>
      <c r="H30" s="10">
        <f t="shared" si="0"/>
        <v>0</v>
      </c>
      <c r="I30" s="12"/>
      <c r="J30" s="10">
        <f t="shared" si="1"/>
        <v>0</v>
      </c>
      <c r="K30" s="12"/>
      <c r="O30" s="14">
        <v>200</v>
      </c>
      <c r="X30" s="9">
        <f t="shared" si="2"/>
        <v>200</v>
      </c>
      <c r="Y30" s="12"/>
      <c r="AI30" s="26">
        <f t="shared" si="15"/>
        <v>0</v>
      </c>
      <c r="AJ30" s="12"/>
    </row>
    <row r="31" spans="1:36" x14ac:dyDescent="0.35">
      <c r="A31" s="1">
        <v>45945</v>
      </c>
      <c r="B31" s="2" t="s">
        <v>215</v>
      </c>
      <c r="C31" s="2" t="s">
        <v>0</v>
      </c>
      <c r="D31" s="2">
        <v>200</v>
      </c>
      <c r="E31" s="2"/>
      <c r="F31" s="3">
        <f t="shared" si="4"/>
        <v>22179</v>
      </c>
      <c r="G31" s="12"/>
      <c r="H31" s="10">
        <f t="shared" si="0"/>
        <v>0</v>
      </c>
      <c r="I31" s="12"/>
      <c r="J31" s="10">
        <f t="shared" si="1"/>
        <v>0</v>
      </c>
      <c r="K31" s="12"/>
      <c r="O31" s="14">
        <v>200</v>
      </c>
      <c r="X31" s="9">
        <f t="shared" si="2"/>
        <v>200</v>
      </c>
      <c r="Y31" s="12"/>
      <c r="AI31" s="26">
        <f t="shared" si="15"/>
        <v>0</v>
      </c>
      <c r="AJ31" s="12"/>
    </row>
    <row r="32" spans="1:36" x14ac:dyDescent="0.35">
      <c r="A32" s="1">
        <v>45945</v>
      </c>
      <c r="B32" s="2" t="s">
        <v>216</v>
      </c>
      <c r="C32" s="2" t="s">
        <v>0</v>
      </c>
      <c r="D32" s="2">
        <v>325</v>
      </c>
      <c r="E32" s="2"/>
      <c r="F32" s="3">
        <f t="shared" si="4"/>
        <v>22504</v>
      </c>
      <c r="G32" s="12"/>
      <c r="H32" s="10">
        <f t="shared" si="0"/>
        <v>0</v>
      </c>
      <c r="I32" s="12"/>
      <c r="J32" s="10">
        <f t="shared" si="1"/>
        <v>0</v>
      </c>
      <c r="K32" s="12"/>
      <c r="O32" s="14">
        <v>200</v>
      </c>
      <c r="P32" s="14">
        <v>125</v>
      </c>
      <c r="X32" s="9">
        <f t="shared" si="2"/>
        <v>325</v>
      </c>
      <c r="Y32" s="12"/>
      <c r="AI32" s="26">
        <f t="shared" si="15"/>
        <v>0</v>
      </c>
      <c r="AJ32" s="12"/>
    </row>
    <row r="33" spans="1:36" x14ac:dyDescent="0.35">
      <c r="A33" s="1">
        <v>45954</v>
      </c>
      <c r="B33" s="2" t="s">
        <v>217</v>
      </c>
      <c r="C33" s="2" t="s">
        <v>0</v>
      </c>
      <c r="D33" s="2">
        <v>300</v>
      </c>
      <c r="E33" s="2"/>
      <c r="F33" s="3">
        <f t="shared" si="4"/>
        <v>22804</v>
      </c>
      <c r="G33" s="12"/>
      <c r="H33" s="10">
        <f t="shared" si="0"/>
        <v>0</v>
      </c>
      <c r="I33" s="12"/>
      <c r="J33" s="10">
        <f t="shared" si="1"/>
        <v>0</v>
      </c>
      <c r="K33" s="12"/>
      <c r="V33" s="14">
        <v>300</v>
      </c>
      <c r="X33" s="9">
        <f t="shared" si="2"/>
        <v>300</v>
      </c>
      <c r="Y33" s="12"/>
      <c r="AI33" s="26">
        <f t="shared" si="15"/>
        <v>0</v>
      </c>
      <c r="AJ33" s="12"/>
    </row>
    <row r="34" spans="1:36" s="8" customFormat="1" x14ac:dyDescent="0.35">
      <c r="A34" s="1">
        <v>45954</v>
      </c>
      <c r="B34" s="2" t="s">
        <v>218</v>
      </c>
      <c r="C34" s="2" t="s">
        <v>0</v>
      </c>
      <c r="D34" s="2">
        <v>30</v>
      </c>
      <c r="E34" s="2"/>
      <c r="F34" s="61">
        <f t="shared" si="4"/>
        <v>22834</v>
      </c>
      <c r="G34" s="19"/>
      <c r="H34" s="20">
        <f t="shared" ref="H34:H65" si="16">D34-X34</f>
        <v>0</v>
      </c>
      <c r="I34" s="19"/>
      <c r="J34" s="20">
        <f t="shared" ref="J34:J65" si="17">E34-AI34</f>
        <v>0</v>
      </c>
      <c r="K34" s="19"/>
      <c r="L34" s="43"/>
      <c r="M34" s="9"/>
      <c r="N34" s="9"/>
      <c r="O34" s="9"/>
      <c r="P34" s="62">
        <v>30</v>
      </c>
      <c r="Q34" s="9"/>
      <c r="R34" s="9"/>
      <c r="S34" s="9"/>
      <c r="T34" s="9"/>
      <c r="U34" s="9"/>
      <c r="V34" s="9"/>
      <c r="W34" s="9"/>
      <c r="X34" s="9">
        <f t="shared" ref="X34:X65" si="18">SUM(L34:W34)</f>
        <v>30</v>
      </c>
      <c r="Y34" s="19"/>
      <c r="Z34" s="26"/>
      <c r="AA34" s="26"/>
      <c r="AB34" s="26"/>
      <c r="AC34" s="26"/>
      <c r="AD34" s="26"/>
      <c r="AE34" s="26"/>
      <c r="AF34" s="26"/>
      <c r="AG34" s="26"/>
      <c r="AH34" s="26"/>
      <c r="AI34" s="26">
        <f t="shared" si="15"/>
        <v>0</v>
      </c>
      <c r="AJ34" s="19"/>
    </row>
    <row r="35" spans="1:36" x14ac:dyDescent="0.35">
      <c r="A35" s="1">
        <v>45959</v>
      </c>
      <c r="B35" s="2" t="s">
        <v>202</v>
      </c>
      <c r="C35" s="2" t="s">
        <v>0</v>
      </c>
      <c r="D35" s="2">
        <v>30</v>
      </c>
      <c r="E35" s="2"/>
      <c r="F35" s="3">
        <f t="shared" si="4"/>
        <v>22864</v>
      </c>
      <c r="G35" s="12"/>
      <c r="H35" s="10">
        <f t="shared" si="16"/>
        <v>0</v>
      </c>
      <c r="I35" s="12"/>
      <c r="J35" s="10">
        <f t="shared" si="17"/>
        <v>0</v>
      </c>
      <c r="K35" s="12"/>
      <c r="P35" s="14">
        <v>30</v>
      </c>
      <c r="X35" s="9">
        <f t="shared" si="18"/>
        <v>30</v>
      </c>
      <c r="Y35" s="12"/>
      <c r="AI35" s="26">
        <f t="shared" si="15"/>
        <v>0</v>
      </c>
      <c r="AJ35" s="12"/>
    </row>
    <row r="36" spans="1:36" x14ac:dyDescent="0.35">
      <c r="A36" s="1">
        <v>45959</v>
      </c>
      <c r="B36" s="2" t="s">
        <v>219</v>
      </c>
      <c r="C36" s="2" t="s">
        <v>0</v>
      </c>
      <c r="D36" s="2">
        <v>30</v>
      </c>
      <c r="E36" s="2"/>
      <c r="F36" s="3">
        <f t="shared" si="4"/>
        <v>22894</v>
      </c>
      <c r="G36" s="12"/>
      <c r="H36" s="10">
        <f t="shared" si="16"/>
        <v>0</v>
      </c>
      <c r="I36" s="12"/>
      <c r="J36" s="10">
        <f t="shared" si="17"/>
        <v>0</v>
      </c>
      <c r="K36" s="12"/>
      <c r="P36" s="14">
        <v>30</v>
      </c>
      <c r="X36" s="9">
        <f t="shared" si="18"/>
        <v>30</v>
      </c>
      <c r="Y36" s="12"/>
      <c r="AI36" s="26">
        <f t="shared" si="15"/>
        <v>0</v>
      </c>
      <c r="AJ36" s="12"/>
    </row>
    <row r="37" spans="1:36" x14ac:dyDescent="0.35">
      <c r="A37" s="1">
        <v>45965</v>
      </c>
      <c r="B37" s="5" t="s">
        <v>220</v>
      </c>
      <c r="C37" s="5" t="s">
        <v>0</v>
      </c>
      <c r="D37" s="5">
        <v>120</v>
      </c>
      <c r="E37" s="5"/>
      <c r="F37" s="6">
        <f t="shared" si="4"/>
        <v>23014</v>
      </c>
      <c r="G37" s="12"/>
      <c r="H37" s="10">
        <f t="shared" si="16"/>
        <v>0</v>
      </c>
      <c r="I37" s="12"/>
      <c r="J37" s="10">
        <f t="shared" si="17"/>
        <v>0</v>
      </c>
      <c r="K37" s="12"/>
      <c r="W37" s="14">
        <v>120</v>
      </c>
      <c r="X37" s="9">
        <f t="shared" si="18"/>
        <v>120</v>
      </c>
      <c r="Y37" s="12"/>
      <c r="AI37" s="26">
        <f t="shared" si="15"/>
        <v>0</v>
      </c>
      <c r="AJ37" s="12"/>
    </row>
    <row r="38" spans="1:36" x14ac:dyDescent="0.35">
      <c r="A38" s="1">
        <v>45968</v>
      </c>
      <c r="B38" s="5" t="s">
        <v>221</v>
      </c>
      <c r="C38" s="5" t="s">
        <v>0</v>
      </c>
      <c r="D38" s="5">
        <v>30</v>
      </c>
      <c r="E38" s="5"/>
      <c r="F38" s="6">
        <f t="shared" si="4"/>
        <v>23044</v>
      </c>
      <c r="G38" s="12"/>
      <c r="H38" s="10">
        <f t="shared" si="16"/>
        <v>0</v>
      </c>
      <c r="I38" s="12"/>
      <c r="J38" s="10">
        <f t="shared" si="17"/>
        <v>0</v>
      </c>
      <c r="K38" s="12"/>
      <c r="P38" s="14">
        <v>30</v>
      </c>
      <c r="X38" s="9">
        <f t="shared" si="18"/>
        <v>30</v>
      </c>
      <c r="Y38" s="12"/>
      <c r="AI38" s="26">
        <f t="shared" si="15"/>
        <v>0</v>
      </c>
      <c r="AJ38" s="12"/>
    </row>
    <row r="39" spans="1:36" x14ac:dyDescent="0.35">
      <c r="A39" s="1">
        <v>45971</v>
      </c>
      <c r="B39" s="5" t="s">
        <v>222</v>
      </c>
      <c r="C39" s="5" t="s">
        <v>0</v>
      </c>
      <c r="D39" s="5">
        <v>30</v>
      </c>
      <c r="E39" s="5"/>
      <c r="F39" s="6">
        <f t="shared" si="4"/>
        <v>23074</v>
      </c>
      <c r="G39" s="12"/>
      <c r="H39" s="10">
        <f t="shared" si="16"/>
        <v>0</v>
      </c>
      <c r="I39" s="12"/>
      <c r="J39" s="10">
        <f t="shared" si="17"/>
        <v>0</v>
      </c>
      <c r="K39" s="12"/>
      <c r="P39" s="14">
        <v>30</v>
      </c>
      <c r="X39" s="9">
        <f t="shared" si="18"/>
        <v>30</v>
      </c>
      <c r="Y39" s="12"/>
      <c r="AI39" s="26">
        <f t="shared" si="15"/>
        <v>0</v>
      </c>
      <c r="AJ39" s="12"/>
    </row>
    <row r="40" spans="1:36" x14ac:dyDescent="0.35">
      <c r="A40" s="1">
        <v>45975</v>
      </c>
      <c r="B40" s="5" t="s">
        <v>207</v>
      </c>
      <c r="C40" s="5" t="s">
        <v>199</v>
      </c>
      <c r="D40" s="5"/>
      <c r="E40" s="5">
        <v>806</v>
      </c>
      <c r="F40" s="6">
        <f t="shared" si="4"/>
        <v>22268</v>
      </c>
      <c r="G40" s="12"/>
      <c r="H40" s="10">
        <f t="shared" si="16"/>
        <v>0</v>
      </c>
      <c r="I40" s="12"/>
      <c r="J40" s="10">
        <f t="shared" si="17"/>
        <v>0</v>
      </c>
      <c r="K40" s="12"/>
      <c r="X40" s="9">
        <f t="shared" si="18"/>
        <v>0</v>
      </c>
      <c r="Y40" s="12"/>
      <c r="AF40" s="23">
        <v>806</v>
      </c>
      <c r="AI40" s="26">
        <f t="shared" si="15"/>
        <v>806</v>
      </c>
      <c r="AJ40" s="12"/>
    </row>
    <row r="41" spans="1:36" x14ac:dyDescent="0.35">
      <c r="A41" s="1">
        <v>45981</v>
      </c>
      <c r="B41" s="5" t="s">
        <v>223</v>
      </c>
      <c r="C41" s="5" t="s">
        <v>0</v>
      </c>
      <c r="D41" s="5">
        <v>188</v>
      </c>
      <c r="E41" s="5"/>
      <c r="F41" s="6">
        <f t="shared" si="4"/>
        <v>22456</v>
      </c>
      <c r="G41" s="12"/>
      <c r="H41" s="10">
        <f t="shared" si="16"/>
        <v>0</v>
      </c>
      <c r="I41" s="12"/>
      <c r="J41" s="10">
        <f t="shared" si="17"/>
        <v>0</v>
      </c>
      <c r="K41" s="12"/>
      <c r="L41" s="14">
        <v>188</v>
      </c>
      <c r="X41" s="9">
        <f t="shared" si="18"/>
        <v>188</v>
      </c>
      <c r="Y41" s="12"/>
      <c r="AI41" s="26">
        <f t="shared" si="15"/>
        <v>0</v>
      </c>
      <c r="AJ41" s="12"/>
    </row>
    <row r="42" spans="1:36" x14ac:dyDescent="0.35">
      <c r="A42" s="1">
        <v>45982</v>
      </c>
      <c r="B42" s="5" t="s">
        <v>224</v>
      </c>
      <c r="C42" s="5" t="s">
        <v>0</v>
      </c>
      <c r="D42" s="5">
        <v>165</v>
      </c>
      <c r="E42" s="5"/>
      <c r="F42" s="6">
        <f t="shared" si="4"/>
        <v>22621</v>
      </c>
      <c r="G42" s="12"/>
      <c r="H42" s="10">
        <f t="shared" si="16"/>
        <v>0</v>
      </c>
      <c r="I42" s="12"/>
      <c r="J42" s="10">
        <f t="shared" si="17"/>
        <v>0</v>
      </c>
      <c r="K42" s="12"/>
      <c r="L42" s="14">
        <v>165</v>
      </c>
      <c r="X42" s="9">
        <f t="shared" si="18"/>
        <v>165</v>
      </c>
      <c r="Y42" s="12"/>
      <c r="AI42" s="26">
        <f t="shared" si="15"/>
        <v>0</v>
      </c>
      <c r="AJ42" s="12"/>
    </row>
    <row r="43" spans="1:36" x14ac:dyDescent="0.35">
      <c r="A43" s="1">
        <v>45986</v>
      </c>
      <c r="B43" s="5" t="s">
        <v>225</v>
      </c>
      <c r="C43" s="5" t="s">
        <v>0</v>
      </c>
      <c r="D43" s="5">
        <v>16.52</v>
      </c>
      <c r="E43" s="5"/>
      <c r="F43" s="6">
        <f t="shared" si="4"/>
        <v>22637.52</v>
      </c>
      <c r="G43" s="12"/>
      <c r="H43" s="10">
        <f t="shared" si="16"/>
        <v>0</v>
      </c>
      <c r="I43" s="12"/>
      <c r="J43" s="10">
        <f t="shared" si="17"/>
        <v>0</v>
      </c>
      <c r="K43" s="12"/>
      <c r="W43" s="14">
        <v>16.52</v>
      </c>
      <c r="X43" s="9">
        <f t="shared" si="18"/>
        <v>16.52</v>
      </c>
      <c r="Y43" s="12"/>
      <c r="AI43" s="26">
        <f t="shared" si="15"/>
        <v>0</v>
      </c>
      <c r="AJ43" s="12"/>
    </row>
    <row r="44" spans="1:36" x14ac:dyDescent="0.35">
      <c r="A44" s="1">
        <v>45994</v>
      </c>
      <c r="B44" s="2" t="s">
        <v>226</v>
      </c>
      <c r="C44" s="2" t="s">
        <v>0</v>
      </c>
      <c r="D44" s="2">
        <v>8.92</v>
      </c>
      <c r="E44" s="2"/>
      <c r="F44" s="3">
        <f t="shared" si="4"/>
        <v>22646.44</v>
      </c>
      <c r="G44" s="12"/>
      <c r="H44" s="10">
        <f t="shared" si="16"/>
        <v>0</v>
      </c>
      <c r="I44" s="12"/>
      <c r="J44" s="10">
        <f t="shared" si="17"/>
        <v>0</v>
      </c>
      <c r="K44" s="12"/>
      <c r="W44" s="14">
        <v>8.92</v>
      </c>
      <c r="X44" s="9">
        <f t="shared" si="18"/>
        <v>8.92</v>
      </c>
      <c r="Y44" s="12"/>
      <c r="AI44" s="26">
        <f t="shared" si="15"/>
        <v>0</v>
      </c>
      <c r="AJ44" s="12"/>
    </row>
    <row r="45" spans="1:36" x14ac:dyDescent="0.35">
      <c r="A45" s="1">
        <v>46003</v>
      </c>
      <c r="B45" s="2" t="s">
        <v>227</v>
      </c>
      <c r="C45" s="2" t="s">
        <v>0</v>
      </c>
      <c r="D45" s="2">
        <v>30</v>
      </c>
      <c r="E45" s="2"/>
      <c r="F45" s="3">
        <f t="shared" si="4"/>
        <v>22676.44</v>
      </c>
      <c r="G45" s="12"/>
      <c r="H45" s="10">
        <f t="shared" si="16"/>
        <v>0</v>
      </c>
      <c r="I45" s="12"/>
      <c r="J45" s="10">
        <f t="shared" si="17"/>
        <v>0</v>
      </c>
      <c r="K45" s="12"/>
      <c r="P45" s="14">
        <v>30</v>
      </c>
      <c r="X45" s="9">
        <f t="shared" si="18"/>
        <v>30</v>
      </c>
      <c r="Y45" s="12"/>
      <c r="AI45" s="26">
        <f t="shared" si="15"/>
        <v>0</v>
      </c>
      <c r="AJ45" s="12"/>
    </row>
    <row r="46" spans="1:36" x14ac:dyDescent="0.35">
      <c r="A46" s="1">
        <v>46010</v>
      </c>
      <c r="B46" s="2" t="s">
        <v>204</v>
      </c>
      <c r="C46" s="2" t="s">
        <v>0</v>
      </c>
      <c r="D46" s="2">
        <v>30</v>
      </c>
      <c r="E46" s="2"/>
      <c r="F46" s="3">
        <f t="shared" si="4"/>
        <v>22706.44</v>
      </c>
      <c r="G46" s="12"/>
      <c r="H46" s="10">
        <f t="shared" si="16"/>
        <v>0</v>
      </c>
      <c r="I46" s="12"/>
      <c r="J46" s="10">
        <f t="shared" si="17"/>
        <v>0</v>
      </c>
      <c r="K46" s="12"/>
      <c r="L46" s="43"/>
      <c r="N46" s="14">
        <v>30</v>
      </c>
      <c r="P46" s="63"/>
      <c r="X46" s="9">
        <f t="shared" si="18"/>
        <v>30</v>
      </c>
      <c r="Y46" s="12"/>
      <c r="AI46" s="26">
        <f t="shared" si="15"/>
        <v>0</v>
      </c>
      <c r="AJ46" s="12"/>
    </row>
    <row r="47" spans="1:36" x14ac:dyDescent="0.35">
      <c r="A47" s="1">
        <v>46010</v>
      </c>
      <c r="B47" s="2">
        <v>800034</v>
      </c>
      <c r="C47" s="2" t="s">
        <v>228</v>
      </c>
      <c r="D47" s="2"/>
      <c r="E47" s="2">
        <v>40</v>
      </c>
      <c r="F47" s="3">
        <f t="shared" si="4"/>
        <v>22666.44</v>
      </c>
      <c r="G47" s="12"/>
      <c r="H47" s="10">
        <f t="shared" si="16"/>
        <v>0</v>
      </c>
      <c r="I47" s="12"/>
      <c r="J47" s="10">
        <f t="shared" si="17"/>
        <v>0</v>
      </c>
      <c r="K47" s="12"/>
      <c r="L47" s="43"/>
      <c r="X47" s="9">
        <f t="shared" si="18"/>
        <v>0</v>
      </c>
      <c r="Y47" s="12"/>
      <c r="AH47" s="23">
        <v>40</v>
      </c>
      <c r="AI47" s="26">
        <f t="shared" si="15"/>
        <v>40</v>
      </c>
      <c r="AJ47" s="12"/>
    </row>
    <row r="48" spans="1:36" x14ac:dyDescent="0.35">
      <c r="A48" s="1">
        <v>46014</v>
      </c>
      <c r="B48" s="2" t="s">
        <v>229</v>
      </c>
      <c r="C48" s="2" t="s">
        <v>0</v>
      </c>
      <c r="D48" s="2">
        <v>30</v>
      </c>
      <c r="E48" s="2"/>
      <c r="F48" s="3">
        <f t="shared" si="4"/>
        <v>22696.44</v>
      </c>
      <c r="G48" s="12"/>
      <c r="H48" s="10">
        <f t="shared" si="16"/>
        <v>0</v>
      </c>
      <c r="I48" s="12"/>
      <c r="J48" s="10">
        <f t="shared" si="17"/>
        <v>0</v>
      </c>
      <c r="K48" s="12"/>
      <c r="P48" s="14">
        <v>30</v>
      </c>
      <c r="X48" s="9">
        <f t="shared" si="18"/>
        <v>30</v>
      </c>
      <c r="Y48" s="12"/>
      <c r="AI48" s="26">
        <f t="shared" si="15"/>
        <v>0</v>
      </c>
      <c r="AJ48" s="12"/>
    </row>
    <row r="49" spans="1:36" x14ac:dyDescent="0.35">
      <c r="A49" s="1">
        <v>46014</v>
      </c>
      <c r="B49" s="2">
        <v>800030</v>
      </c>
      <c r="C49" s="2" t="s">
        <v>228</v>
      </c>
      <c r="D49" s="2"/>
      <c r="E49" s="64">
        <v>137</v>
      </c>
      <c r="F49" s="3">
        <f t="shared" si="4"/>
        <v>22559.439999999999</v>
      </c>
      <c r="G49" s="12"/>
      <c r="H49" s="10">
        <f t="shared" si="16"/>
        <v>0</v>
      </c>
      <c r="I49" s="12"/>
      <c r="J49" s="10">
        <f t="shared" si="17"/>
        <v>0</v>
      </c>
      <c r="K49" s="12"/>
      <c r="X49" s="9">
        <f t="shared" si="18"/>
        <v>0</v>
      </c>
      <c r="Y49" s="12"/>
      <c r="AA49" s="75">
        <v>137</v>
      </c>
      <c r="AI49" s="26">
        <f t="shared" si="15"/>
        <v>137</v>
      </c>
      <c r="AJ49" s="12"/>
    </row>
    <row r="50" spans="1:36" x14ac:dyDescent="0.35">
      <c r="A50" s="1">
        <v>46014</v>
      </c>
      <c r="B50" s="2">
        <v>800029</v>
      </c>
      <c r="C50" s="2" t="s">
        <v>228</v>
      </c>
      <c r="D50" s="2"/>
      <c r="E50" s="64">
        <v>68</v>
      </c>
      <c r="F50" s="3">
        <f t="shared" si="4"/>
        <v>22491.439999999999</v>
      </c>
      <c r="G50" s="12"/>
      <c r="H50" s="10">
        <f t="shared" si="16"/>
        <v>0</v>
      </c>
      <c r="I50" s="12"/>
      <c r="J50" s="10">
        <f t="shared" si="17"/>
        <v>0</v>
      </c>
      <c r="K50" s="12"/>
      <c r="X50" s="9">
        <f t="shared" si="18"/>
        <v>0</v>
      </c>
      <c r="Y50" s="12"/>
      <c r="AA50" s="75">
        <v>68</v>
      </c>
      <c r="AI50" s="26">
        <f t="shared" si="15"/>
        <v>68</v>
      </c>
      <c r="AJ50" s="12"/>
    </row>
    <row r="51" spans="1:36" x14ac:dyDescent="0.35">
      <c r="A51" s="1">
        <v>46020</v>
      </c>
      <c r="B51" s="2">
        <v>800031</v>
      </c>
      <c r="C51" s="2" t="s">
        <v>228</v>
      </c>
      <c r="D51" s="2"/>
      <c r="E51" s="2">
        <v>40</v>
      </c>
      <c r="F51" s="3">
        <f t="shared" si="4"/>
        <v>22451.439999999999</v>
      </c>
      <c r="G51" s="12"/>
      <c r="H51" s="10">
        <f t="shared" si="16"/>
        <v>0</v>
      </c>
      <c r="I51" s="12"/>
      <c r="J51" s="10">
        <f t="shared" si="17"/>
        <v>0</v>
      </c>
      <c r="K51" s="12"/>
      <c r="X51" s="9">
        <f t="shared" si="18"/>
        <v>0</v>
      </c>
      <c r="Y51" s="12"/>
      <c r="AH51" s="23">
        <v>40</v>
      </c>
      <c r="AI51" s="26">
        <f t="shared" si="15"/>
        <v>40</v>
      </c>
      <c r="AJ51" s="12"/>
    </row>
    <row r="52" spans="1:36" x14ac:dyDescent="0.35">
      <c r="A52" s="1">
        <v>46022</v>
      </c>
      <c r="B52" s="2" t="s">
        <v>214</v>
      </c>
      <c r="C52" s="2" t="s">
        <v>0</v>
      </c>
      <c r="D52" s="2">
        <v>30</v>
      </c>
      <c r="E52" s="2"/>
      <c r="F52" s="3">
        <f t="shared" si="4"/>
        <v>22481.439999999999</v>
      </c>
      <c r="G52" s="12"/>
      <c r="H52" s="10">
        <f t="shared" si="16"/>
        <v>0</v>
      </c>
      <c r="I52" s="12"/>
      <c r="J52" s="10">
        <f t="shared" si="17"/>
        <v>0</v>
      </c>
      <c r="K52" s="12"/>
      <c r="P52" s="14">
        <v>30</v>
      </c>
      <c r="X52" s="9">
        <f t="shared" si="18"/>
        <v>30</v>
      </c>
      <c r="Y52" s="12"/>
      <c r="AI52" s="26">
        <f t="shared" si="15"/>
        <v>0</v>
      </c>
      <c r="AJ52" s="12"/>
    </row>
    <row r="53" spans="1:36" x14ac:dyDescent="0.35">
      <c r="A53" s="4">
        <v>46024</v>
      </c>
      <c r="B53" s="5" t="s">
        <v>245</v>
      </c>
      <c r="C53" s="5" t="s">
        <v>0</v>
      </c>
      <c r="D53" s="5">
        <v>200</v>
      </c>
      <c r="E53" s="5"/>
      <c r="F53" s="6">
        <f t="shared" si="4"/>
        <v>22681.439999999999</v>
      </c>
      <c r="G53" s="12"/>
      <c r="H53" s="10">
        <f t="shared" si="16"/>
        <v>0</v>
      </c>
      <c r="I53" s="12"/>
      <c r="J53" s="10">
        <f t="shared" si="17"/>
        <v>0</v>
      </c>
      <c r="K53" s="12"/>
      <c r="O53" s="14">
        <v>200</v>
      </c>
      <c r="X53" s="9">
        <f t="shared" si="18"/>
        <v>200</v>
      </c>
      <c r="Y53" s="12"/>
      <c r="AI53" s="26">
        <f t="shared" si="15"/>
        <v>0</v>
      </c>
      <c r="AJ53" s="12"/>
    </row>
    <row r="54" spans="1:36" x14ac:dyDescent="0.35">
      <c r="A54" s="4">
        <v>46024</v>
      </c>
      <c r="B54" s="5" t="s">
        <v>231</v>
      </c>
      <c r="C54" s="5" t="s">
        <v>0</v>
      </c>
      <c r="D54" s="5">
        <v>195</v>
      </c>
      <c r="E54" s="5"/>
      <c r="F54" s="6">
        <f t="shared" si="4"/>
        <v>22876.44</v>
      </c>
      <c r="G54" s="12"/>
      <c r="H54" s="10">
        <f t="shared" si="16"/>
        <v>0</v>
      </c>
      <c r="I54" s="12"/>
      <c r="J54" s="10">
        <f t="shared" si="17"/>
        <v>0</v>
      </c>
      <c r="K54" s="12"/>
      <c r="L54" s="14">
        <v>195</v>
      </c>
      <c r="X54" s="9">
        <f t="shared" si="18"/>
        <v>195</v>
      </c>
      <c r="Y54" s="12"/>
      <c r="AI54" s="26">
        <f t="shared" si="15"/>
        <v>0</v>
      </c>
      <c r="AJ54" s="12"/>
    </row>
    <row r="55" spans="1:36" x14ac:dyDescent="0.35">
      <c r="A55" s="4">
        <v>46024</v>
      </c>
      <c r="B55" s="5" t="s">
        <v>232</v>
      </c>
      <c r="C55" s="5" t="s">
        <v>0</v>
      </c>
      <c r="D55" s="5">
        <v>165</v>
      </c>
      <c r="E55" s="5"/>
      <c r="F55" s="6">
        <f t="shared" si="4"/>
        <v>23041.439999999999</v>
      </c>
      <c r="G55" s="12"/>
      <c r="H55" s="10">
        <f t="shared" si="16"/>
        <v>0</v>
      </c>
      <c r="I55" s="12"/>
      <c r="J55" s="10">
        <f t="shared" si="17"/>
        <v>0</v>
      </c>
      <c r="K55" s="12"/>
      <c r="L55" s="14">
        <v>165</v>
      </c>
      <c r="X55" s="9">
        <f>SUM(L55:W55)</f>
        <v>165</v>
      </c>
      <c r="Y55" s="12"/>
      <c r="AI55" s="26">
        <f t="shared" si="15"/>
        <v>0</v>
      </c>
      <c r="AJ55" s="12"/>
    </row>
    <row r="56" spans="1:36" x14ac:dyDescent="0.35">
      <c r="A56" s="4">
        <v>46024</v>
      </c>
      <c r="B56" s="5" t="s">
        <v>207</v>
      </c>
      <c r="C56" s="5" t="s">
        <v>199</v>
      </c>
      <c r="D56" s="5"/>
      <c r="E56" s="5">
        <v>754</v>
      </c>
      <c r="F56" s="6">
        <f t="shared" si="4"/>
        <v>22287.439999999999</v>
      </c>
      <c r="G56" s="12"/>
      <c r="H56" s="10">
        <f t="shared" si="16"/>
        <v>0</v>
      </c>
      <c r="I56" s="12"/>
      <c r="J56" s="10">
        <f t="shared" si="17"/>
        <v>0</v>
      </c>
      <c r="K56" s="12"/>
      <c r="X56" s="9">
        <f t="shared" si="18"/>
        <v>0</v>
      </c>
      <c r="Y56" s="12"/>
      <c r="AF56" s="23">
        <v>754</v>
      </c>
      <c r="AI56" s="26">
        <f t="shared" si="15"/>
        <v>754</v>
      </c>
      <c r="AJ56" s="12"/>
    </row>
    <row r="57" spans="1:36" x14ac:dyDescent="0.35">
      <c r="A57" s="4">
        <v>46024</v>
      </c>
      <c r="B57" s="5" t="s">
        <v>233</v>
      </c>
      <c r="C57" s="5" t="s">
        <v>0</v>
      </c>
      <c r="D57" s="5">
        <v>30</v>
      </c>
      <c r="E57" s="5"/>
      <c r="F57" s="6">
        <f t="shared" si="4"/>
        <v>22317.439999999999</v>
      </c>
      <c r="G57" s="12"/>
      <c r="H57" s="10">
        <f t="shared" si="16"/>
        <v>0</v>
      </c>
      <c r="I57" s="12"/>
      <c r="J57" s="10">
        <f t="shared" si="17"/>
        <v>0</v>
      </c>
      <c r="K57" s="12"/>
      <c r="P57" s="14">
        <v>30</v>
      </c>
      <c r="X57" s="9">
        <f t="shared" si="18"/>
        <v>30</v>
      </c>
      <c r="Y57" s="12"/>
      <c r="AI57" s="26">
        <f t="shared" si="15"/>
        <v>0</v>
      </c>
      <c r="AJ57" s="12"/>
    </row>
    <row r="58" spans="1:36" x14ac:dyDescent="0.35">
      <c r="A58" s="4">
        <v>46024</v>
      </c>
      <c r="B58" s="5" t="s">
        <v>234</v>
      </c>
      <c r="C58" s="5" t="s">
        <v>0</v>
      </c>
      <c r="D58" s="5">
        <v>295</v>
      </c>
      <c r="E58" s="5"/>
      <c r="F58" s="6">
        <f t="shared" si="4"/>
        <v>22612.44</v>
      </c>
      <c r="G58" s="12"/>
      <c r="H58" s="10">
        <f t="shared" si="16"/>
        <v>0</v>
      </c>
      <c r="I58" s="12"/>
      <c r="J58" s="10">
        <f t="shared" si="17"/>
        <v>0</v>
      </c>
      <c r="K58" s="12"/>
      <c r="O58" s="14">
        <f>200/5*3</f>
        <v>120</v>
      </c>
      <c r="P58" s="14">
        <f>125/5*3</f>
        <v>75</v>
      </c>
      <c r="R58" s="14">
        <v>100</v>
      </c>
      <c r="X58" s="9">
        <f t="shared" si="18"/>
        <v>295</v>
      </c>
      <c r="Y58" s="12"/>
      <c r="AI58" s="26">
        <f t="shared" ref="AI58:AI89" si="19">SUM(Z58:AH58)</f>
        <v>0</v>
      </c>
      <c r="AJ58" s="12"/>
    </row>
    <row r="59" spans="1:36" x14ac:dyDescent="0.35">
      <c r="A59" s="4">
        <v>46024</v>
      </c>
      <c r="B59" s="5" t="s">
        <v>235</v>
      </c>
      <c r="C59" s="5" t="s">
        <v>0</v>
      </c>
      <c r="D59" s="5">
        <v>30</v>
      </c>
      <c r="E59" s="5"/>
      <c r="F59" s="6">
        <f t="shared" si="4"/>
        <v>22642.44</v>
      </c>
      <c r="G59" s="12"/>
      <c r="H59" s="10">
        <f t="shared" si="16"/>
        <v>0</v>
      </c>
      <c r="I59" s="12"/>
      <c r="J59" s="10">
        <f t="shared" si="17"/>
        <v>0</v>
      </c>
      <c r="K59" s="12"/>
      <c r="P59" s="14">
        <v>30</v>
      </c>
      <c r="X59" s="9">
        <f t="shared" si="18"/>
        <v>30</v>
      </c>
      <c r="Y59" s="12"/>
      <c r="AI59" s="26">
        <f t="shared" si="19"/>
        <v>0</v>
      </c>
      <c r="AJ59" s="12"/>
    </row>
    <row r="60" spans="1:36" x14ac:dyDescent="0.35">
      <c r="A60" s="4">
        <v>46027</v>
      </c>
      <c r="B60" s="5" t="s">
        <v>246</v>
      </c>
      <c r="C60" s="5" t="s">
        <v>0</v>
      </c>
      <c r="D60" s="5">
        <v>325</v>
      </c>
      <c r="E60" s="5"/>
      <c r="F60" s="6">
        <f t="shared" si="4"/>
        <v>22967.439999999999</v>
      </c>
      <c r="G60" s="12"/>
      <c r="H60" s="10">
        <f t="shared" si="16"/>
        <v>0</v>
      </c>
      <c r="I60" s="12"/>
      <c r="J60" s="10">
        <f t="shared" si="17"/>
        <v>0</v>
      </c>
      <c r="K60" s="12"/>
      <c r="O60" s="14">
        <v>200</v>
      </c>
      <c r="P60" s="14">
        <v>125</v>
      </c>
      <c r="X60" s="9">
        <f t="shared" si="18"/>
        <v>325</v>
      </c>
      <c r="Y60" s="12"/>
      <c r="AI60" s="26">
        <f t="shared" si="19"/>
        <v>0</v>
      </c>
      <c r="AJ60" s="12"/>
    </row>
    <row r="61" spans="1:36" x14ac:dyDescent="0.35">
      <c r="A61" s="4">
        <v>46027</v>
      </c>
      <c r="B61" s="5">
        <v>800032</v>
      </c>
      <c r="C61" s="5" t="s">
        <v>228</v>
      </c>
      <c r="D61" s="5"/>
      <c r="E61" s="5">
        <v>40</v>
      </c>
      <c r="F61" s="6">
        <f t="shared" si="4"/>
        <v>22927.439999999999</v>
      </c>
      <c r="G61" s="12"/>
      <c r="H61" s="10">
        <f t="shared" si="16"/>
        <v>0</v>
      </c>
      <c r="I61" s="12"/>
      <c r="J61" s="10">
        <f t="shared" si="17"/>
        <v>0</v>
      </c>
      <c r="K61" s="12"/>
      <c r="X61" s="9">
        <f t="shared" si="18"/>
        <v>0</v>
      </c>
      <c r="Y61" s="12"/>
      <c r="AH61" s="23">
        <v>40</v>
      </c>
      <c r="AI61" s="26">
        <f t="shared" si="19"/>
        <v>40</v>
      </c>
      <c r="AJ61" s="12"/>
    </row>
    <row r="62" spans="1:36" x14ac:dyDescent="0.35">
      <c r="A62" s="4">
        <v>46028</v>
      </c>
      <c r="B62" s="5" t="s">
        <v>247</v>
      </c>
      <c r="C62" s="5" t="s">
        <v>0</v>
      </c>
      <c r="D62" s="5">
        <v>243</v>
      </c>
      <c r="E62" s="5"/>
      <c r="F62" s="6">
        <f t="shared" si="4"/>
        <v>23170.44</v>
      </c>
      <c r="G62" s="12"/>
      <c r="H62" s="10">
        <f t="shared" si="16"/>
        <v>0</v>
      </c>
      <c r="I62" s="12"/>
      <c r="J62" s="10">
        <f t="shared" si="17"/>
        <v>0</v>
      </c>
      <c r="K62" s="12"/>
      <c r="O62" s="14">
        <v>149.4</v>
      </c>
      <c r="P62" s="14">
        <v>93.6</v>
      </c>
      <c r="X62" s="9">
        <f t="shared" si="18"/>
        <v>243</v>
      </c>
      <c r="Y62" s="12"/>
      <c r="AI62" s="26">
        <f t="shared" si="19"/>
        <v>0</v>
      </c>
      <c r="AJ62" s="12"/>
    </row>
    <row r="63" spans="1:36" x14ac:dyDescent="0.35">
      <c r="A63" s="4">
        <v>46034</v>
      </c>
      <c r="B63" s="5">
        <v>800033</v>
      </c>
      <c r="C63" s="5" t="s">
        <v>228</v>
      </c>
      <c r="D63" s="5"/>
      <c r="E63" s="5">
        <v>40</v>
      </c>
      <c r="F63" s="6">
        <f t="shared" si="4"/>
        <v>23130.44</v>
      </c>
      <c r="G63" s="12"/>
      <c r="H63" s="10">
        <f t="shared" si="16"/>
        <v>0</v>
      </c>
      <c r="I63" s="12"/>
      <c r="J63" s="10">
        <f t="shared" si="17"/>
        <v>0</v>
      </c>
      <c r="K63" s="12"/>
      <c r="X63" s="9">
        <f t="shared" si="18"/>
        <v>0</v>
      </c>
      <c r="Y63" s="12"/>
      <c r="AH63" s="23">
        <v>40</v>
      </c>
      <c r="AI63" s="26">
        <f t="shared" si="19"/>
        <v>40</v>
      </c>
      <c r="AJ63" s="12"/>
    </row>
    <row r="64" spans="1:36" x14ac:dyDescent="0.35">
      <c r="A64" s="4">
        <v>46038</v>
      </c>
      <c r="B64" s="5" t="s">
        <v>249</v>
      </c>
      <c r="C64" s="5" t="s">
        <v>180</v>
      </c>
      <c r="D64" s="5"/>
      <c r="E64" s="5">
        <v>2160</v>
      </c>
      <c r="F64" s="6">
        <f t="shared" si="4"/>
        <v>20970.439999999999</v>
      </c>
      <c r="G64" s="12"/>
      <c r="H64" s="10">
        <f t="shared" si="16"/>
        <v>0</v>
      </c>
      <c r="I64" s="12"/>
      <c r="J64" s="10">
        <f t="shared" si="17"/>
        <v>0</v>
      </c>
      <c r="K64" s="12"/>
      <c r="X64" s="9">
        <f t="shared" si="18"/>
        <v>0</v>
      </c>
      <c r="Y64" s="12"/>
      <c r="AD64" s="23">
        <v>2160</v>
      </c>
      <c r="AI64" s="26">
        <f t="shared" si="19"/>
        <v>2160</v>
      </c>
      <c r="AJ64" s="12"/>
    </row>
    <row r="65" spans="1:36" x14ac:dyDescent="0.35">
      <c r="A65" s="4">
        <v>46041</v>
      </c>
      <c r="B65" s="5" t="s">
        <v>250</v>
      </c>
      <c r="C65" s="5" t="s">
        <v>180</v>
      </c>
      <c r="D65" s="5"/>
      <c r="E65" s="5">
        <v>250</v>
      </c>
      <c r="F65" s="6">
        <f t="shared" si="4"/>
        <v>20720.439999999999</v>
      </c>
      <c r="G65" s="12"/>
      <c r="H65" s="10">
        <f t="shared" si="16"/>
        <v>0</v>
      </c>
      <c r="I65" s="12"/>
      <c r="J65" s="10">
        <f t="shared" si="17"/>
        <v>0</v>
      </c>
      <c r="K65" s="12"/>
      <c r="X65" s="9">
        <f t="shared" si="18"/>
        <v>0</v>
      </c>
      <c r="Y65" s="12"/>
      <c r="AA65" s="23">
        <v>250</v>
      </c>
      <c r="AI65" s="26">
        <f t="shared" si="19"/>
        <v>250</v>
      </c>
      <c r="AJ65" s="12"/>
    </row>
    <row r="66" spans="1:36" x14ac:dyDescent="0.35">
      <c r="A66" s="4">
        <v>46043</v>
      </c>
      <c r="B66" s="5" t="s">
        <v>272</v>
      </c>
      <c r="C66" s="5" t="s">
        <v>0</v>
      </c>
      <c r="D66" s="5">
        <v>13.06</v>
      </c>
      <c r="E66" s="5"/>
      <c r="F66" s="6">
        <f t="shared" si="4"/>
        <v>20733.5</v>
      </c>
      <c r="G66" s="12"/>
      <c r="H66" s="10">
        <f t="shared" ref="H66:H96" si="20">D66-X66</f>
        <v>0</v>
      </c>
      <c r="I66" s="12"/>
      <c r="J66" s="10">
        <f t="shared" ref="J66:J96" si="21">E66-AI66</f>
        <v>0</v>
      </c>
      <c r="K66" s="12"/>
      <c r="L66" s="43"/>
      <c r="W66" s="14">
        <v>13.06</v>
      </c>
      <c r="X66" s="9">
        <f t="shared" ref="X66:X97" si="22">SUM(L66:W66)</f>
        <v>13.06</v>
      </c>
      <c r="Y66" s="12"/>
      <c r="AI66" s="26">
        <f t="shared" si="19"/>
        <v>0</v>
      </c>
      <c r="AJ66" s="12"/>
    </row>
    <row r="67" spans="1:36" x14ac:dyDescent="0.35">
      <c r="A67" s="4">
        <v>46050</v>
      </c>
      <c r="B67" s="5"/>
      <c r="C67" s="5" t="s">
        <v>273</v>
      </c>
      <c r="D67" s="5"/>
      <c r="E67" s="5">
        <v>3</v>
      </c>
      <c r="F67" s="6">
        <f t="shared" si="4"/>
        <v>20730.5</v>
      </c>
      <c r="G67" s="12"/>
      <c r="H67" s="10">
        <f t="shared" si="20"/>
        <v>0</v>
      </c>
      <c r="I67" s="12"/>
      <c r="J67" s="10">
        <f t="shared" si="21"/>
        <v>0</v>
      </c>
      <c r="K67" s="12"/>
      <c r="L67" s="43"/>
      <c r="X67" s="9">
        <f t="shared" si="22"/>
        <v>0</v>
      </c>
      <c r="Y67" s="12"/>
      <c r="AG67" s="23">
        <v>3</v>
      </c>
      <c r="AI67" s="26">
        <f t="shared" si="19"/>
        <v>3</v>
      </c>
      <c r="AJ67" s="12"/>
    </row>
    <row r="68" spans="1:36" x14ac:dyDescent="0.35">
      <c r="A68" s="4">
        <v>46051</v>
      </c>
      <c r="B68" s="5">
        <v>800035</v>
      </c>
      <c r="C68" s="5" t="s">
        <v>228</v>
      </c>
      <c r="D68" s="5"/>
      <c r="E68" s="5">
        <v>165</v>
      </c>
      <c r="F68" s="6">
        <f t="shared" ref="F68:F89" si="23">F67+D68-E68</f>
        <v>20565.5</v>
      </c>
      <c r="G68" s="12"/>
      <c r="H68" s="10">
        <f t="shared" si="20"/>
        <v>0</v>
      </c>
      <c r="I68" s="12"/>
      <c r="J68" s="10">
        <f t="shared" si="21"/>
        <v>0</v>
      </c>
      <c r="K68" s="12"/>
      <c r="X68" s="9">
        <f t="shared" si="22"/>
        <v>0</v>
      </c>
      <c r="Y68" s="12"/>
      <c r="AA68" s="23">
        <v>165</v>
      </c>
      <c r="AI68" s="26">
        <f t="shared" si="19"/>
        <v>165</v>
      </c>
      <c r="AJ68" s="12"/>
    </row>
    <row r="69" spans="1:36" x14ac:dyDescent="0.35">
      <c r="A69" s="1">
        <v>46071</v>
      </c>
      <c r="B69" s="2" t="s">
        <v>220</v>
      </c>
      <c r="C69" s="2" t="s">
        <v>0</v>
      </c>
      <c r="D69" s="2">
        <v>100</v>
      </c>
      <c r="E69" s="2"/>
      <c r="F69" s="3">
        <f t="shared" si="23"/>
        <v>20665.5</v>
      </c>
      <c r="G69" s="12"/>
      <c r="H69" s="10">
        <f t="shared" si="20"/>
        <v>0</v>
      </c>
      <c r="I69" s="12"/>
      <c r="J69" s="10">
        <f t="shared" si="21"/>
        <v>0</v>
      </c>
      <c r="K69" s="12"/>
      <c r="V69" s="14">
        <v>100</v>
      </c>
      <c r="X69" s="9">
        <f t="shared" si="22"/>
        <v>100</v>
      </c>
      <c r="Y69" s="12"/>
      <c r="AI69" s="26">
        <f t="shared" si="19"/>
        <v>0</v>
      </c>
      <c r="AJ69" s="12"/>
    </row>
    <row r="70" spans="1:36" x14ac:dyDescent="0.35">
      <c r="A70" s="1">
        <v>46071</v>
      </c>
      <c r="B70" s="2" t="s">
        <v>274</v>
      </c>
      <c r="C70" s="2" t="s">
        <v>0</v>
      </c>
      <c r="D70" s="2">
        <v>12.22</v>
      </c>
      <c r="E70" s="2"/>
      <c r="F70" s="3">
        <f t="shared" si="23"/>
        <v>20677.72</v>
      </c>
      <c r="G70" s="12"/>
      <c r="H70" s="10">
        <f t="shared" si="20"/>
        <v>0</v>
      </c>
      <c r="I70" s="12"/>
      <c r="J70" s="10">
        <f t="shared" si="21"/>
        <v>0</v>
      </c>
      <c r="K70" s="12"/>
      <c r="V70" s="14">
        <v>12.22</v>
      </c>
      <c r="X70" s="9">
        <f t="shared" si="22"/>
        <v>12.22</v>
      </c>
      <c r="Y70" s="12"/>
      <c r="AI70" s="26">
        <f t="shared" si="19"/>
        <v>0</v>
      </c>
      <c r="AJ70" s="12"/>
    </row>
    <row r="71" spans="1:36" x14ac:dyDescent="0.35">
      <c r="A71" s="1">
        <v>46078</v>
      </c>
      <c r="B71" s="2" t="s">
        <v>275</v>
      </c>
      <c r="C71" s="2" t="s">
        <v>0</v>
      </c>
      <c r="D71" s="2">
        <v>10</v>
      </c>
      <c r="E71" s="2"/>
      <c r="F71" s="3">
        <f t="shared" si="23"/>
        <v>20687.72</v>
      </c>
      <c r="G71" s="12"/>
      <c r="H71" s="10">
        <f t="shared" si="20"/>
        <v>0</v>
      </c>
      <c r="I71" s="12"/>
      <c r="J71" s="10">
        <f t="shared" si="21"/>
        <v>0</v>
      </c>
      <c r="K71" s="12"/>
      <c r="V71" s="14">
        <v>10</v>
      </c>
      <c r="X71" s="9">
        <f t="shared" si="22"/>
        <v>10</v>
      </c>
      <c r="Y71" s="12"/>
      <c r="AI71" s="26">
        <f t="shared" si="19"/>
        <v>0</v>
      </c>
      <c r="AJ71" s="12"/>
    </row>
    <row r="72" spans="1:36" x14ac:dyDescent="0.35">
      <c r="A72" s="1">
        <v>46080</v>
      </c>
      <c r="B72" s="2"/>
      <c r="C72" s="2" t="s">
        <v>273</v>
      </c>
      <c r="D72" s="2"/>
      <c r="E72" s="2">
        <v>3</v>
      </c>
      <c r="F72" s="3">
        <f t="shared" si="23"/>
        <v>20684.72</v>
      </c>
      <c r="G72" s="12"/>
      <c r="H72" s="10">
        <f t="shared" si="20"/>
        <v>0</v>
      </c>
      <c r="I72" s="12"/>
      <c r="J72" s="10">
        <f t="shared" si="21"/>
        <v>0</v>
      </c>
      <c r="K72" s="12"/>
      <c r="X72" s="9">
        <f t="shared" si="22"/>
        <v>0</v>
      </c>
      <c r="Y72" s="12"/>
      <c r="AG72" s="23">
        <v>3</v>
      </c>
      <c r="AI72" s="26">
        <f t="shared" si="19"/>
        <v>3</v>
      </c>
      <c r="AJ72" s="12"/>
    </row>
    <row r="73" spans="1:36" x14ac:dyDescent="0.35">
      <c r="A73" s="4">
        <v>46086</v>
      </c>
      <c r="B73" s="5" t="s">
        <v>276</v>
      </c>
      <c r="C73" s="5" t="s">
        <v>0</v>
      </c>
      <c r="D73" s="5">
        <v>30</v>
      </c>
      <c r="E73" s="5"/>
      <c r="F73" s="6">
        <f t="shared" si="23"/>
        <v>20714.72</v>
      </c>
      <c r="G73" s="12"/>
      <c r="H73" s="10">
        <f t="shared" si="20"/>
        <v>0</v>
      </c>
      <c r="I73" s="12"/>
      <c r="J73" s="10">
        <f t="shared" si="21"/>
        <v>0</v>
      </c>
      <c r="K73" s="12"/>
      <c r="P73" s="14">
        <v>30</v>
      </c>
      <c r="X73" s="9">
        <f t="shared" si="22"/>
        <v>30</v>
      </c>
      <c r="Y73" s="12"/>
      <c r="AI73" s="26">
        <f t="shared" si="19"/>
        <v>0</v>
      </c>
      <c r="AJ73" s="12"/>
    </row>
    <row r="74" spans="1:36" x14ac:dyDescent="0.35">
      <c r="A74" s="4">
        <v>46086</v>
      </c>
      <c r="B74" s="5" t="s">
        <v>277</v>
      </c>
      <c r="C74" s="5" t="s">
        <v>0</v>
      </c>
      <c r="D74" s="5">
        <v>35</v>
      </c>
      <c r="E74" s="5"/>
      <c r="F74" s="6">
        <f t="shared" si="23"/>
        <v>20749.72</v>
      </c>
      <c r="G74" s="12"/>
      <c r="H74" s="10">
        <f t="shared" si="20"/>
        <v>0</v>
      </c>
      <c r="I74" s="12"/>
      <c r="J74" s="10">
        <f t="shared" si="21"/>
        <v>0</v>
      </c>
      <c r="K74" s="12"/>
      <c r="P74" s="14">
        <v>35</v>
      </c>
      <c r="X74" s="9">
        <f t="shared" si="22"/>
        <v>35</v>
      </c>
      <c r="Y74" s="12"/>
      <c r="AI74" s="26">
        <f t="shared" si="19"/>
        <v>0</v>
      </c>
      <c r="AJ74" s="12"/>
    </row>
    <row r="75" spans="1:36" x14ac:dyDescent="0.35">
      <c r="A75" s="4">
        <v>46086</v>
      </c>
      <c r="B75" s="5" t="s">
        <v>278</v>
      </c>
      <c r="C75" s="5" t="s">
        <v>0</v>
      </c>
      <c r="D75" s="5">
        <v>8.8000000000000007</v>
      </c>
      <c r="E75" s="5"/>
      <c r="F75" s="6">
        <f t="shared" si="23"/>
        <v>20758.52</v>
      </c>
      <c r="G75" s="12"/>
      <c r="H75" s="10">
        <f t="shared" si="20"/>
        <v>0</v>
      </c>
      <c r="I75" s="12"/>
      <c r="J75" s="10">
        <f t="shared" si="21"/>
        <v>0</v>
      </c>
      <c r="K75" s="12"/>
      <c r="W75" s="14">
        <v>8.8000000000000007</v>
      </c>
      <c r="X75" s="9">
        <f t="shared" si="22"/>
        <v>8.8000000000000007</v>
      </c>
      <c r="Y75" s="12"/>
      <c r="AI75" s="26">
        <f t="shared" si="19"/>
        <v>0</v>
      </c>
      <c r="AJ75" s="12"/>
    </row>
    <row r="76" spans="1:36" x14ac:dyDescent="0.35">
      <c r="A76" s="4">
        <v>46086</v>
      </c>
      <c r="B76" s="5" t="s">
        <v>279</v>
      </c>
      <c r="C76" s="5" t="s">
        <v>0</v>
      </c>
      <c r="D76" s="5">
        <v>30</v>
      </c>
      <c r="E76" s="5"/>
      <c r="F76" s="6">
        <f t="shared" si="23"/>
        <v>20788.52</v>
      </c>
      <c r="G76" s="12"/>
      <c r="H76" s="10">
        <f t="shared" si="20"/>
        <v>0</v>
      </c>
      <c r="I76" s="12"/>
      <c r="J76" s="10">
        <f t="shared" si="21"/>
        <v>0</v>
      </c>
      <c r="K76" s="12"/>
      <c r="P76" s="14">
        <v>30</v>
      </c>
      <c r="X76" s="9">
        <f t="shared" si="22"/>
        <v>30</v>
      </c>
      <c r="Y76" s="12"/>
      <c r="AI76" s="26">
        <f t="shared" si="19"/>
        <v>0</v>
      </c>
      <c r="AJ76" s="12"/>
    </row>
    <row r="77" spans="1:36" x14ac:dyDescent="0.35">
      <c r="A77" s="4">
        <v>46087</v>
      </c>
      <c r="B77" s="5" t="s">
        <v>280</v>
      </c>
      <c r="C77" s="5" t="s">
        <v>0</v>
      </c>
      <c r="D77" s="5">
        <v>30</v>
      </c>
      <c r="E77" s="5"/>
      <c r="F77" s="6">
        <f t="shared" si="23"/>
        <v>20818.52</v>
      </c>
      <c r="G77" s="12"/>
      <c r="H77" s="10">
        <f t="shared" si="20"/>
        <v>0</v>
      </c>
      <c r="I77" s="12"/>
      <c r="J77" s="10">
        <f t="shared" si="21"/>
        <v>0</v>
      </c>
      <c r="K77" s="12"/>
      <c r="P77" s="14">
        <v>30</v>
      </c>
      <c r="X77" s="9">
        <f t="shared" si="22"/>
        <v>30</v>
      </c>
      <c r="Y77" s="12"/>
      <c r="AI77" s="26">
        <f t="shared" si="19"/>
        <v>0</v>
      </c>
      <c r="AJ77" s="12"/>
    </row>
    <row r="78" spans="1:36" x14ac:dyDescent="0.35">
      <c r="A78" s="4">
        <v>46092</v>
      </c>
      <c r="B78" s="5" t="s">
        <v>281</v>
      </c>
      <c r="C78" s="5" t="s">
        <v>0</v>
      </c>
      <c r="D78" s="5">
        <v>30</v>
      </c>
      <c r="E78" s="5"/>
      <c r="F78" s="6">
        <f t="shared" si="23"/>
        <v>20848.52</v>
      </c>
      <c r="G78" s="12"/>
      <c r="H78" s="10">
        <f t="shared" si="20"/>
        <v>0</v>
      </c>
      <c r="I78" s="12"/>
      <c r="J78" s="10">
        <f t="shared" si="21"/>
        <v>0</v>
      </c>
      <c r="K78" s="12"/>
      <c r="P78" s="14">
        <v>30</v>
      </c>
      <c r="X78" s="9">
        <f t="shared" si="22"/>
        <v>30</v>
      </c>
      <c r="Y78" s="12"/>
      <c r="AI78" s="26">
        <f t="shared" si="19"/>
        <v>0</v>
      </c>
      <c r="AJ78" s="12"/>
    </row>
    <row r="79" spans="1:36" x14ac:dyDescent="0.35">
      <c r="A79" s="4">
        <v>46097</v>
      </c>
      <c r="B79" s="5" t="s">
        <v>202</v>
      </c>
      <c r="C79" s="5" t="s">
        <v>0</v>
      </c>
      <c r="D79" s="5">
        <v>30</v>
      </c>
      <c r="E79" s="5"/>
      <c r="F79" s="6">
        <f t="shared" si="23"/>
        <v>20878.52</v>
      </c>
      <c r="G79" s="12"/>
      <c r="H79" s="10">
        <f t="shared" si="20"/>
        <v>0</v>
      </c>
      <c r="I79" s="12"/>
      <c r="J79" s="10">
        <f t="shared" si="21"/>
        <v>0</v>
      </c>
      <c r="K79" s="12"/>
      <c r="P79" s="14">
        <v>30</v>
      </c>
      <c r="X79" s="9">
        <f t="shared" si="22"/>
        <v>30</v>
      </c>
      <c r="Y79" s="12"/>
      <c r="AI79" s="26">
        <f t="shared" si="19"/>
        <v>0</v>
      </c>
      <c r="AJ79" s="12"/>
    </row>
    <row r="80" spans="1:36" x14ac:dyDescent="0.35">
      <c r="A80" s="4">
        <v>46097</v>
      </c>
      <c r="B80" s="5" t="s">
        <v>214</v>
      </c>
      <c r="C80" s="5" t="s">
        <v>0</v>
      </c>
      <c r="D80" s="5">
        <v>30</v>
      </c>
      <c r="E80" s="5"/>
      <c r="F80" s="6">
        <f t="shared" si="23"/>
        <v>20908.52</v>
      </c>
      <c r="G80" s="12"/>
      <c r="H80" s="10">
        <f t="shared" si="20"/>
        <v>0</v>
      </c>
      <c r="I80" s="12"/>
      <c r="J80" s="10">
        <f t="shared" si="21"/>
        <v>0</v>
      </c>
      <c r="K80" s="12"/>
      <c r="P80" s="14">
        <v>30</v>
      </c>
      <c r="X80" s="9">
        <f t="shared" si="22"/>
        <v>30</v>
      </c>
      <c r="Y80" s="12"/>
      <c r="AI80" s="26">
        <f t="shared" si="19"/>
        <v>0</v>
      </c>
      <c r="AJ80" s="12"/>
    </row>
    <row r="81" spans="1:36" x14ac:dyDescent="0.35">
      <c r="A81" s="4">
        <v>46097</v>
      </c>
      <c r="B81" s="5" t="s">
        <v>282</v>
      </c>
      <c r="C81" s="5" t="s">
        <v>0</v>
      </c>
      <c r="D81" s="5">
        <v>30</v>
      </c>
      <c r="E81" s="5"/>
      <c r="F81" s="6">
        <f t="shared" si="23"/>
        <v>20938.52</v>
      </c>
      <c r="G81" s="12"/>
      <c r="H81" s="10">
        <f t="shared" si="20"/>
        <v>0</v>
      </c>
      <c r="I81" s="12"/>
      <c r="J81" s="10">
        <f t="shared" si="21"/>
        <v>0</v>
      </c>
      <c r="K81" s="12"/>
      <c r="P81" s="14">
        <v>30</v>
      </c>
      <c r="X81" s="9">
        <f t="shared" si="22"/>
        <v>30</v>
      </c>
      <c r="Y81" s="12"/>
      <c r="AI81" s="26">
        <f t="shared" si="19"/>
        <v>0</v>
      </c>
      <c r="AJ81" s="12"/>
    </row>
    <row r="82" spans="1:36" x14ac:dyDescent="0.35">
      <c r="A82" s="4">
        <v>46097</v>
      </c>
      <c r="B82" s="5" t="s">
        <v>283</v>
      </c>
      <c r="C82" s="5" t="s">
        <v>0</v>
      </c>
      <c r="D82" s="5">
        <v>60</v>
      </c>
      <c r="E82" s="5"/>
      <c r="F82" s="6">
        <f t="shared" si="23"/>
        <v>20998.52</v>
      </c>
      <c r="G82" s="12"/>
      <c r="H82" s="10">
        <f t="shared" si="20"/>
        <v>0</v>
      </c>
      <c r="I82" s="12"/>
      <c r="J82" s="10">
        <f t="shared" si="21"/>
        <v>0</v>
      </c>
      <c r="K82" s="12"/>
      <c r="P82" s="14">
        <v>60</v>
      </c>
      <c r="X82" s="9">
        <f t="shared" si="22"/>
        <v>60</v>
      </c>
      <c r="Y82" s="12"/>
      <c r="AI82" s="26">
        <f t="shared" si="19"/>
        <v>0</v>
      </c>
      <c r="AJ82" s="12"/>
    </row>
    <row r="83" spans="1:36" x14ac:dyDescent="0.35">
      <c r="A83" s="4">
        <v>46097</v>
      </c>
      <c r="B83" s="5" t="s">
        <v>284</v>
      </c>
      <c r="C83" s="5" t="s">
        <v>0</v>
      </c>
      <c r="D83" s="5">
        <v>30</v>
      </c>
      <c r="E83" s="5"/>
      <c r="F83" s="6">
        <f t="shared" si="23"/>
        <v>21028.52</v>
      </c>
      <c r="G83" s="12"/>
      <c r="H83" s="10">
        <f t="shared" si="20"/>
        <v>0</v>
      </c>
      <c r="I83" s="12"/>
      <c r="J83" s="10">
        <f t="shared" si="21"/>
        <v>0</v>
      </c>
      <c r="K83" s="12"/>
      <c r="P83" s="14">
        <v>30</v>
      </c>
      <c r="X83" s="9">
        <f t="shared" si="22"/>
        <v>30</v>
      </c>
      <c r="Y83" s="12"/>
      <c r="AI83" s="26">
        <f t="shared" si="19"/>
        <v>0</v>
      </c>
      <c r="AJ83" s="12"/>
    </row>
    <row r="84" spans="1:36" x14ac:dyDescent="0.35">
      <c r="A84" s="4">
        <v>46098</v>
      </c>
      <c r="B84" s="5" t="s">
        <v>210</v>
      </c>
      <c r="C84" s="5" t="s">
        <v>0</v>
      </c>
      <c r="D84" s="5">
        <v>30</v>
      </c>
      <c r="E84" s="5"/>
      <c r="F84" s="6">
        <f t="shared" si="23"/>
        <v>21058.52</v>
      </c>
      <c r="G84" s="12"/>
      <c r="H84" s="10">
        <f t="shared" si="20"/>
        <v>0</v>
      </c>
      <c r="I84" s="12"/>
      <c r="J84" s="10">
        <f t="shared" si="21"/>
        <v>0</v>
      </c>
      <c r="K84" s="12"/>
      <c r="P84" s="14">
        <v>30</v>
      </c>
      <c r="X84" s="9">
        <f t="shared" si="22"/>
        <v>30</v>
      </c>
      <c r="Y84" s="12"/>
      <c r="AI84" s="26">
        <f t="shared" si="19"/>
        <v>0</v>
      </c>
      <c r="AJ84" s="12"/>
    </row>
    <row r="85" spans="1:36" x14ac:dyDescent="0.35">
      <c r="A85" s="4">
        <v>46098</v>
      </c>
      <c r="B85" s="5" t="s">
        <v>23</v>
      </c>
      <c r="C85" s="5" t="s">
        <v>0</v>
      </c>
      <c r="D85" s="5">
        <v>158.15</v>
      </c>
      <c r="E85" s="5"/>
      <c r="F85" s="6">
        <f t="shared" si="23"/>
        <v>21216.670000000002</v>
      </c>
      <c r="G85" s="12"/>
      <c r="H85" s="10">
        <f t="shared" si="20"/>
        <v>0</v>
      </c>
      <c r="I85" s="12"/>
      <c r="J85" s="10">
        <f t="shared" si="21"/>
        <v>0</v>
      </c>
      <c r="K85" s="12"/>
      <c r="L85" s="14">
        <v>158.15</v>
      </c>
      <c r="X85" s="9">
        <f t="shared" si="22"/>
        <v>158.15</v>
      </c>
      <c r="Y85" s="12"/>
      <c r="AI85" s="26">
        <f t="shared" si="19"/>
        <v>0</v>
      </c>
      <c r="AJ85" s="12"/>
    </row>
    <row r="86" spans="1:36" x14ac:dyDescent="0.35">
      <c r="A86" s="4">
        <v>46098</v>
      </c>
      <c r="B86" s="5" t="s">
        <v>24</v>
      </c>
      <c r="C86" s="5" t="s">
        <v>0</v>
      </c>
      <c r="D86" s="5">
        <v>220</v>
      </c>
      <c r="E86" s="5"/>
      <c r="F86" s="6">
        <f t="shared" si="23"/>
        <v>21436.670000000002</v>
      </c>
      <c r="G86" s="12"/>
      <c r="H86" s="10">
        <f t="shared" si="20"/>
        <v>0</v>
      </c>
      <c r="I86" s="12"/>
      <c r="J86" s="10">
        <f t="shared" si="21"/>
        <v>0</v>
      </c>
      <c r="K86" s="12"/>
      <c r="L86" s="14">
        <v>220</v>
      </c>
      <c r="X86" s="9">
        <f t="shared" si="22"/>
        <v>220</v>
      </c>
      <c r="Y86" s="12"/>
      <c r="AI86" s="26">
        <f t="shared" si="19"/>
        <v>0</v>
      </c>
      <c r="AJ86" s="12"/>
    </row>
    <row r="87" spans="1:36" x14ac:dyDescent="0.35">
      <c r="A87" s="4">
        <v>46098</v>
      </c>
      <c r="B87" s="5" t="s">
        <v>24</v>
      </c>
      <c r="C87" s="5" t="s">
        <v>0</v>
      </c>
      <c r="D87" s="5">
        <v>10</v>
      </c>
      <c r="E87" s="5"/>
      <c r="F87" s="6">
        <f t="shared" si="23"/>
        <v>21446.670000000002</v>
      </c>
      <c r="G87" s="12"/>
      <c r="H87" s="10">
        <f t="shared" si="20"/>
        <v>0</v>
      </c>
      <c r="I87" s="12"/>
      <c r="J87" s="10">
        <f t="shared" si="21"/>
        <v>0</v>
      </c>
      <c r="K87" s="12"/>
      <c r="L87" s="14">
        <v>10</v>
      </c>
      <c r="X87" s="9">
        <f t="shared" si="22"/>
        <v>10</v>
      </c>
      <c r="Y87" s="12"/>
      <c r="AI87" s="26">
        <f t="shared" si="19"/>
        <v>0</v>
      </c>
      <c r="AJ87" s="12"/>
    </row>
    <row r="88" spans="1:36" x14ac:dyDescent="0.35">
      <c r="A88" s="4">
        <v>46098</v>
      </c>
      <c r="B88" s="5" t="s">
        <v>207</v>
      </c>
      <c r="C88" s="5" t="s">
        <v>289</v>
      </c>
      <c r="D88" s="5"/>
      <c r="E88" s="5">
        <v>854</v>
      </c>
      <c r="F88" s="6">
        <f t="shared" si="23"/>
        <v>20592.670000000002</v>
      </c>
      <c r="G88" s="12"/>
      <c r="H88" s="10">
        <f t="shared" si="20"/>
        <v>0</v>
      </c>
      <c r="I88" s="12"/>
      <c r="J88" s="10">
        <f t="shared" si="21"/>
        <v>0</v>
      </c>
      <c r="K88" s="12"/>
      <c r="X88" s="9">
        <f t="shared" si="22"/>
        <v>0</v>
      </c>
      <c r="Y88" s="12"/>
      <c r="AF88" s="23">
        <v>854</v>
      </c>
      <c r="AI88" s="26">
        <f t="shared" si="19"/>
        <v>854</v>
      </c>
      <c r="AJ88" s="12"/>
    </row>
    <row r="89" spans="1:36" x14ac:dyDescent="0.35">
      <c r="A89" s="4">
        <v>46098</v>
      </c>
      <c r="B89" s="5" t="s">
        <v>290</v>
      </c>
      <c r="C89" s="5" t="s">
        <v>0</v>
      </c>
      <c r="D89" s="5">
        <v>100</v>
      </c>
      <c r="E89" s="5"/>
      <c r="F89" s="6">
        <f t="shared" si="23"/>
        <v>20692.670000000002</v>
      </c>
      <c r="G89" s="12"/>
      <c r="H89" s="10">
        <f t="shared" si="20"/>
        <v>0</v>
      </c>
      <c r="I89" s="12"/>
      <c r="J89" s="10">
        <f t="shared" si="21"/>
        <v>0</v>
      </c>
      <c r="K89" s="12"/>
      <c r="L89" s="14">
        <v>100</v>
      </c>
      <c r="X89" s="9">
        <f t="shared" si="22"/>
        <v>100</v>
      </c>
      <c r="Y89" s="12"/>
      <c r="AI89" s="26">
        <f t="shared" si="19"/>
        <v>0</v>
      </c>
      <c r="AJ89" s="12"/>
    </row>
    <row r="90" spans="1:36" x14ac:dyDescent="0.35">
      <c r="A90" s="4">
        <v>46098</v>
      </c>
      <c r="B90" s="5" t="s">
        <v>291</v>
      </c>
      <c r="C90" s="5" t="s">
        <v>0</v>
      </c>
      <c r="D90" s="5">
        <v>40</v>
      </c>
      <c r="E90" s="5"/>
      <c r="F90" s="6">
        <f t="shared" ref="F85:F96" si="24">F89+D90-E90</f>
        <v>20732.670000000002</v>
      </c>
      <c r="G90" s="12"/>
      <c r="H90" s="10">
        <f t="shared" si="20"/>
        <v>0</v>
      </c>
      <c r="I90" s="12"/>
      <c r="J90" s="10">
        <f t="shared" si="21"/>
        <v>0</v>
      </c>
      <c r="K90" s="12"/>
      <c r="L90" s="14">
        <v>40</v>
      </c>
      <c r="X90" s="9">
        <f t="shared" si="22"/>
        <v>40</v>
      </c>
      <c r="Y90" s="12"/>
      <c r="AI90" s="26">
        <f t="shared" ref="AI90:AI97" si="25">SUM(Z90:AH90)</f>
        <v>0</v>
      </c>
      <c r="AJ90" s="12"/>
    </row>
    <row r="91" spans="1:36" x14ac:dyDescent="0.35">
      <c r="A91" s="1"/>
      <c r="B91" s="2"/>
      <c r="C91" s="2"/>
      <c r="D91" s="3"/>
      <c r="E91" s="3"/>
      <c r="F91" s="3">
        <f t="shared" si="24"/>
        <v>20732.670000000002</v>
      </c>
      <c r="G91" s="12"/>
      <c r="H91" s="10">
        <f t="shared" si="20"/>
        <v>0</v>
      </c>
      <c r="I91" s="12"/>
      <c r="J91" s="10">
        <f t="shared" si="21"/>
        <v>0</v>
      </c>
      <c r="K91" s="12"/>
      <c r="X91" s="9">
        <f t="shared" si="22"/>
        <v>0</v>
      </c>
      <c r="Y91" s="12"/>
      <c r="AI91" s="26">
        <f t="shared" si="25"/>
        <v>0</v>
      </c>
      <c r="AJ91" s="12"/>
    </row>
    <row r="92" spans="1:36" x14ac:dyDescent="0.35">
      <c r="A92" s="1"/>
      <c r="B92" s="2"/>
      <c r="C92" s="2"/>
      <c r="D92" s="3"/>
      <c r="E92" s="3"/>
      <c r="F92" s="3">
        <f t="shared" si="24"/>
        <v>20732.670000000002</v>
      </c>
      <c r="G92" s="12"/>
      <c r="H92" s="10">
        <f t="shared" si="20"/>
        <v>0</v>
      </c>
      <c r="I92" s="12"/>
      <c r="J92" s="10">
        <f t="shared" si="21"/>
        <v>0</v>
      </c>
      <c r="K92" s="12"/>
      <c r="X92" s="9">
        <f t="shared" si="22"/>
        <v>0</v>
      </c>
      <c r="Y92" s="12"/>
      <c r="AI92" s="26">
        <f t="shared" si="25"/>
        <v>0</v>
      </c>
      <c r="AJ92" s="12"/>
    </row>
    <row r="93" spans="1:36" x14ac:dyDescent="0.35">
      <c r="A93" s="1"/>
      <c r="B93" s="2"/>
      <c r="C93" s="2"/>
      <c r="D93" s="3"/>
      <c r="E93" s="3"/>
      <c r="F93" s="3">
        <f t="shared" si="24"/>
        <v>20732.670000000002</v>
      </c>
      <c r="G93" s="12"/>
      <c r="H93" s="10">
        <f t="shared" si="20"/>
        <v>0</v>
      </c>
      <c r="I93" s="12"/>
      <c r="J93" s="10">
        <f t="shared" si="21"/>
        <v>0</v>
      </c>
      <c r="K93" s="12"/>
      <c r="L93" s="43"/>
      <c r="X93" s="9">
        <f t="shared" si="22"/>
        <v>0</v>
      </c>
      <c r="Y93" s="12"/>
      <c r="AI93" s="26">
        <f t="shared" si="25"/>
        <v>0</v>
      </c>
      <c r="AJ93" s="12"/>
    </row>
    <row r="94" spans="1:36" x14ac:dyDescent="0.35">
      <c r="A94" s="1"/>
      <c r="B94" s="2"/>
      <c r="C94" s="2"/>
      <c r="D94" s="3"/>
      <c r="E94" s="3"/>
      <c r="F94" s="3">
        <f t="shared" si="24"/>
        <v>20732.670000000002</v>
      </c>
      <c r="G94" s="12"/>
      <c r="H94" s="10">
        <f t="shared" si="20"/>
        <v>0</v>
      </c>
      <c r="I94" s="12"/>
      <c r="J94" s="10">
        <f t="shared" si="21"/>
        <v>0</v>
      </c>
      <c r="K94" s="12"/>
      <c r="X94" s="9">
        <f t="shared" si="22"/>
        <v>0</v>
      </c>
      <c r="Y94" s="12"/>
      <c r="AI94" s="26">
        <f t="shared" si="25"/>
        <v>0</v>
      </c>
      <c r="AJ94" s="12"/>
    </row>
    <row r="95" spans="1:36" x14ac:dyDescent="0.35">
      <c r="A95" s="1"/>
      <c r="B95" s="2"/>
      <c r="C95" s="2"/>
      <c r="D95" s="3"/>
      <c r="E95" s="3"/>
      <c r="F95" s="3">
        <f t="shared" si="24"/>
        <v>20732.670000000002</v>
      </c>
      <c r="G95" s="12"/>
      <c r="H95" s="10">
        <f t="shared" si="20"/>
        <v>0</v>
      </c>
      <c r="I95" s="12"/>
      <c r="J95" s="10">
        <f t="shared" si="21"/>
        <v>0</v>
      </c>
      <c r="K95" s="12"/>
      <c r="X95" s="9">
        <f t="shared" si="22"/>
        <v>0</v>
      </c>
      <c r="Y95" s="12"/>
      <c r="AI95" s="26">
        <f t="shared" si="25"/>
        <v>0</v>
      </c>
      <c r="AJ95" s="12"/>
    </row>
    <row r="96" spans="1:36" x14ac:dyDescent="0.35">
      <c r="A96" s="4"/>
      <c r="B96" s="5"/>
      <c r="C96" s="5"/>
      <c r="D96" s="6"/>
      <c r="E96" s="6"/>
      <c r="F96" s="6">
        <f t="shared" si="24"/>
        <v>20732.670000000002</v>
      </c>
      <c r="G96" s="12"/>
      <c r="H96" s="10">
        <f t="shared" si="20"/>
        <v>0</v>
      </c>
      <c r="I96" s="12"/>
      <c r="J96" s="10">
        <f t="shared" si="21"/>
        <v>0</v>
      </c>
      <c r="K96" s="12"/>
      <c r="X96" s="9">
        <f t="shared" si="22"/>
        <v>0</v>
      </c>
      <c r="Y96" s="12"/>
      <c r="AI96" s="26">
        <f t="shared" si="25"/>
        <v>0</v>
      </c>
      <c r="AJ96" s="12"/>
    </row>
    <row r="97" spans="1:36" x14ac:dyDescent="0.35">
      <c r="X97" s="9">
        <f t="shared" si="22"/>
        <v>0</v>
      </c>
      <c r="AI97" s="26">
        <f t="shared" si="25"/>
        <v>0</v>
      </c>
    </row>
    <row r="98" spans="1:36" s="16" customFormat="1" ht="15" thickBot="1" x14ac:dyDescent="0.4">
      <c r="A98" s="16" t="s">
        <v>21</v>
      </c>
      <c r="D98" s="29">
        <f>SUM(D2:D97)</f>
        <v>9167.1499999999978</v>
      </c>
      <c r="E98" s="29">
        <f>SUM(E3:E97)</f>
        <v>9488.2000000000007</v>
      </c>
      <c r="G98" s="17"/>
      <c r="H98" s="18">
        <f>SUM(H2:H96)</f>
        <v>0</v>
      </c>
      <c r="I98" s="17"/>
      <c r="J98" s="18">
        <f>SUM(J2:J96)</f>
        <v>0</v>
      </c>
      <c r="K98" s="17"/>
      <c r="L98" s="18">
        <f t="shared" ref="L98:W98" si="26">SUM(L2:L96)</f>
        <v>1506.15</v>
      </c>
      <c r="M98" s="18">
        <f t="shared" si="26"/>
        <v>25</v>
      </c>
      <c r="N98" s="18">
        <f t="shared" si="26"/>
        <v>30</v>
      </c>
      <c r="O98" s="18">
        <f t="shared" si="26"/>
        <v>4269.3999999999996</v>
      </c>
      <c r="P98" s="18">
        <f t="shared" si="26"/>
        <v>2607.08</v>
      </c>
      <c r="Q98" s="18">
        <f t="shared" si="26"/>
        <v>30</v>
      </c>
      <c r="R98" s="18">
        <f t="shared" si="26"/>
        <v>100</v>
      </c>
      <c r="S98" s="18">
        <f t="shared" si="26"/>
        <v>0</v>
      </c>
      <c r="T98" s="18">
        <f t="shared" si="26"/>
        <v>0</v>
      </c>
      <c r="U98" s="18">
        <f t="shared" si="26"/>
        <v>0</v>
      </c>
      <c r="V98" s="18"/>
      <c r="W98" s="18">
        <f t="shared" si="26"/>
        <v>177.3</v>
      </c>
      <c r="X98" s="18">
        <f t="shared" ref="X98" si="27">SUM(L98:W98)</f>
        <v>8744.9299999999985</v>
      </c>
      <c r="Y98" s="17"/>
      <c r="Z98" s="27">
        <f t="shared" ref="Z98:AI98" si="28">SUM(Z2:Z96)</f>
        <v>0</v>
      </c>
      <c r="AA98" s="27">
        <f t="shared" si="28"/>
        <v>620</v>
      </c>
      <c r="AB98" s="27">
        <f t="shared" si="28"/>
        <v>2393.1999999999998</v>
      </c>
      <c r="AC98" s="27">
        <f t="shared" si="28"/>
        <v>556</v>
      </c>
      <c r="AD98" s="27">
        <f t="shared" si="28"/>
        <v>2160</v>
      </c>
      <c r="AE98" s="27">
        <f t="shared" si="28"/>
        <v>555</v>
      </c>
      <c r="AF98" s="27">
        <f t="shared" si="28"/>
        <v>3038</v>
      </c>
      <c r="AG98" s="27">
        <f t="shared" si="28"/>
        <v>6</v>
      </c>
      <c r="AH98" s="27">
        <f t="shared" si="28"/>
        <v>160</v>
      </c>
      <c r="AI98" s="27">
        <f t="shared" si="28"/>
        <v>9488.2000000000007</v>
      </c>
      <c r="AJ98" s="17"/>
    </row>
    <row r="99" spans="1:36" ht="15" thickTop="1" x14ac:dyDescent="0.35"/>
  </sheetData>
  <conditionalFormatting sqref="H2:J97">
    <cfRule type="cellIs" dxfId="2" priority="1" operator="notEqual">
      <formula>0</formula>
    </cfRule>
  </conditionalFormatting>
  <printOptions gridLines="1"/>
  <pageMargins left="0.23622047244094491" right="0.23622047244094491" top="0.74803149606299213" bottom="0.74803149606299213" header="0.31496062992125984" footer="0.31496062992125984"/>
  <pageSetup paperSize="9" scale="74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9DCE-D3EB-4DCD-ABBC-82F0A10E9EC0}">
  <sheetPr>
    <pageSetUpPr fitToPage="1"/>
  </sheetPr>
  <dimension ref="A1:L33"/>
  <sheetViews>
    <sheetView workbookViewId="0">
      <selection activeCell="K15" sqref="K15"/>
    </sheetView>
  </sheetViews>
  <sheetFormatPr defaultRowHeight="14.5" x14ac:dyDescent="0.35"/>
  <cols>
    <col min="1" max="1" width="27.54296875" customWidth="1"/>
    <col min="2" max="2" width="12.453125" style="21" bestFit="1" customWidth="1"/>
    <col min="3" max="3" width="7.81640625" style="21" bestFit="1" customWidth="1"/>
    <col min="4" max="4" width="8.7265625" style="21" bestFit="1" customWidth="1"/>
    <col min="5" max="5" width="8.54296875" bestFit="1" customWidth="1"/>
    <col min="6" max="6" width="8.81640625" bestFit="1" customWidth="1"/>
    <col min="7" max="7" width="10.26953125" style="21" customWidth="1"/>
    <col min="8" max="8" width="9.81640625" bestFit="1" customWidth="1"/>
    <col min="9" max="9" width="10.1796875" bestFit="1" customWidth="1"/>
    <col min="10" max="10" width="10.1796875" customWidth="1"/>
    <col min="11" max="11" width="56.453125" customWidth="1"/>
  </cols>
  <sheetData>
    <row r="1" spans="1:11" x14ac:dyDescent="0.35">
      <c r="A1" s="8" t="s">
        <v>59</v>
      </c>
      <c r="B1" s="7" t="s">
        <v>126</v>
      </c>
      <c r="C1" s="7" t="s">
        <v>134</v>
      </c>
      <c r="D1" s="7" t="s">
        <v>135</v>
      </c>
      <c r="E1" s="8" t="s">
        <v>122</v>
      </c>
      <c r="F1" s="8" t="s">
        <v>124</v>
      </c>
      <c r="G1" s="7" t="s">
        <v>132</v>
      </c>
      <c r="H1" s="8" t="s">
        <v>123</v>
      </c>
      <c r="I1" s="8" t="s">
        <v>125</v>
      </c>
      <c r="J1" s="7" t="s">
        <v>132</v>
      </c>
      <c r="K1" s="8" t="s">
        <v>133</v>
      </c>
    </row>
    <row r="2" spans="1:11" x14ac:dyDescent="0.35">
      <c r="A2" t="s">
        <v>61</v>
      </c>
      <c r="B2" s="32"/>
      <c r="C2" s="32"/>
      <c r="D2" s="32"/>
      <c r="E2" s="31"/>
      <c r="F2" s="31"/>
      <c r="G2" s="32"/>
      <c r="H2" s="31"/>
      <c r="I2" s="31"/>
      <c r="J2" s="32"/>
    </row>
    <row r="3" spans="1:11" x14ac:dyDescent="0.35">
      <c r="A3" t="s">
        <v>27</v>
      </c>
      <c r="B3" s="32" t="s">
        <v>127</v>
      </c>
      <c r="C3" s="34"/>
      <c r="D3" s="48"/>
      <c r="E3" s="31">
        <v>200</v>
      </c>
      <c r="F3" s="31">
        <v>200</v>
      </c>
      <c r="G3" s="33">
        <f>E3-F3</f>
        <v>0</v>
      </c>
      <c r="H3" s="31">
        <v>125</v>
      </c>
      <c r="I3" s="31">
        <v>125</v>
      </c>
      <c r="J3" s="33">
        <f>H3-I3</f>
        <v>0</v>
      </c>
    </row>
    <row r="4" spans="1:11" x14ac:dyDescent="0.35">
      <c r="A4" t="s">
        <v>236</v>
      </c>
      <c r="B4" s="32" t="s">
        <v>127</v>
      </c>
      <c r="C4" s="34"/>
      <c r="D4" s="48"/>
      <c r="E4" s="31">
        <v>120</v>
      </c>
      <c r="F4" s="31">
        <v>120</v>
      </c>
      <c r="G4" s="33">
        <f t="shared" ref="G4:G31" si="0">E4-F4</f>
        <v>0</v>
      </c>
      <c r="H4" s="31">
        <v>75</v>
      </c>
      <c r="I4" s="31">
        <v>75</v>
      </c>
      <c r="J4" s="33">
        <f t="shared" ref="J4:J31" si="1">H4-I4</f>
        <v>0</v>
      </c>
    </row>
    <row r="5" spans="1:11" x14ac:dyDescent="0.35">
      <c r="A5" t="s">
        <v>30</v>
      </c>
      <c r="B5" s="32" t="s">
        <v>128</v>
      </c>
      <c r="C5" s="48"/>
      <c r="D5" s="48"/>
      <c r="E5" s="31">
        <v>200</v>
      </c>
      <c r="F5" s="31">
        <v>200</v>
      </c>
      <c r="G5" s="33">
        <f t="shared" si="0"/>
        <v>0</v>
      </c>
      <c r="H5" s="31"/>
      <c r="I5" s="31"/>
      <c r="J5" s="33">
        <f t="shared" si="1"/>
        <v>0</v>
      </c>
    </row>
    <row r="6" spans="1:11" x14ac:dyDescent="0.35">
      <c r="A6" t="s">
        <v>31</v>
      </c>
      <c r="B6" s="32" t="s">
        <v>129</v>
      </c>
      <c r="C6" s="48"/>
      <c r="D6" s="48"/>
      <c r="E6" s="31">
        <v>0</v>
      </c>
      <c r="F6" s="31"/>
      <c r="G6" s="33">
        <f t="shared" si="0"/>
        <v>0</v>
      </c>
      <c r="H6" s="31">
        <v>0</v>
      </c>
      <c r="I6" s="31"/>
      <c r="J6" s="33">
        <f t="shared" si="1"/>
        <v>0</v>
      </c>
    </row>
    <row r="7" spans="1:11" x14ac:dyDescent="0.35">
      <c r="A7" t="s">
        <v>32</v>
      </c>
      <c r="B7" s="32" t="s">
        <v>128</v>
      </c>
      <c r="C7" s="48"/>
      <c r="D7" s="48"/>
      <c r="E7" s="31">
        <v>200</v>
      </c>
      <c r="F7" s="31">
        <v>200</v>
      </c>
      <c r="G7" s="33">
        <f t="shared" si="0"/>
        <v>0</v>
      </c>
      <c r="H7" s="31">
        <v>150</v>
      </c>
      <c r="I7" s="31">
        <v>150</v>
      </c>
      <c r="J7" s="33">
        <f t="shared" si="1"/>
        <v>0</v>
      </c>
    </row>
    <row r="8" spans="1:11" x14ac:dyDescent="0.35">
      <c r="A8" s="65" t="s">
        <v>33</v>
      </c>
      <c r="B8" s="66" t="s">
        <v>251</v>
      </c>
      <c r="C8" s="48"/>
      <c r="D8" s="48"/>
      <c r="E8" s="31">
        <v>200</v>
      </c>
      <c r="F8" s="31"/>
      <c r="G8" s="33">
        <f t="shared" si="0"/>
        <v>200</v>
      </c>
      <c r="H8" s="31"/>
      <c r="I8" s="31"/>
      <c r="J8" s="33">
        <f t="shared" si="1"/>
        <v>0</v>
      </c>
      <c r="K8" s="53" t="s">
        <v>248</v>
      </c>
    </row>
    <row r="9" spans="1:11" x14ac:dyDescent="0.35">
      <c r="A9" t="s">
        <v>34</v>
      </c>
      <c r="B9" s="32" t="s">
        <v>128</v>
      </c>
      <c r="C9" s="48"/>
      <c r="D9" s="48"/>
      <c r="E9" s="31">
        <v>200</v>
      </c>
      <c r="F9" s="31">
        <v>200</v>
      </c>
      <c r="G9" s="33">
        <f t="shared" si="0"/>
        <v>0</v>
      </c>
      <c r="H9" s="31">
        <v>0</v>
      </c>
      <c r="I9" s="31"/>
      <c r="J9" s="33">
        <f t="shared" si="1"/>
        <v>0</v>
      </c>
    </row>
    <row r="10" spans="1:11" x14ac:dyDescent="0.35">
      <c r="A10" t="s">
        <v>35</v>
      </c>
      <c r="B10" s="32" t="s">
        <v>127</v>
      </c>
      <c r="C10" s="48"/>
      <c r="D10" s="48"/>
      <c r="E10" s="31">
        <v>200</v>
      </c>
      <c r="F10" s="31">
        <v>200</v>
      </c>
      <c r="G10" s="33">
        <f t="shared" si="0"/>
        <v>0</v>
      </c>
      <c r="H10" s="31">
        <v>125</v>
      </c>
      <c r="I10" s="31">
        <v>125</v>
      </c>
      <c r="J10" s="33">
        <f t="shared" si="1"/>
        <v>0</v>
      </c>
    </row>
    <row r="11" spans="1:11" x14ac:dyDescent="0.35">
      <c r="A11" s="44" t="s">
        <v>36</v>
      </c>
      <c r="B11" s="32" t="s">
        <v>130</v>
      </c>
      <c r="C11" s="48"/>
      <c r="D11" s="48"/>
      <c r="E11" s="31">
        <v>200</v>
      </c>
      <c r="F11" s="31">
        <v>200</v>
      </c>
      <c r="G11" s="33">
        <f t="shared" si="0"/>
        <v>0</v>
      </c>
      <c r="H11" s="31"/>
      <c r="I11" s="31"/>
      <c r="J11" s="33">
        <f t="shared" si="1"/>
        <v>0</v>
      </c>
    </row>
    <row r="12" spans="1:11" x14ac:dyDescent="0.35">
      <c r="A12" t="s">
        <v>38</v>
      </c>
      <c r="B12" s="32" t="s">
        <v>127</v>
      </c>
      <c r="C12" s="48"/>
      <c r="D12" s="48"/>
      <c r="E12" s="31">
        <v>200</v>
      </c>
      <c r="F12" s="31">
        <v>200</v>
      </c>
      <c r="G12" s="33">
        <f t="shared" si="0"/>
        <v>0</v>
      </c>
      <c r="H12" s="31">
        <v>125</v>
      </c>
      <c r="I12" s="31">
        <v>125</v>
      </c>
      <c r="J12" s="33">
        <f t="shared" si="1"/>
        <v>0</v>
      </c>
    </row>
    <row r="13" spans="1:11" s="53" customFormat="1" x14ac:dyDescent="0.35">
      <c r="A13" s="65" t="s">
        <v>39</v>
      </c>
      <c r="B13" s="32" t="s">
        <v>193</v>
      </c>
      <c r="C13" s="67"/>
      <c r="D13" s="67"/>
      <c r="E13" s="56">
        <v>200</v>
      </c>
      <c r="F13" s="56"/>
      <c r="G13" s="33">
        <f t="shared" si="0"/>
        <v>200</v>
      </c>
      <c r="H13" s="56"/>
      <c r="I13" s="56"/>
      <c r="J13" s="33">
        <f t="shared" si="1"/>
        <v>0</v>
      </c>
      <c r="K13" s="53" t="s">
        <v>191</v>
      </c>
    </row>
    <row r="14" spans="1:11" x14ac:dyDescent="0.35">
      <c r="A14" s="65" t="s">
        <v>40</v>
      </c>
      <c r="B14" s="32" t="s">
        <v>130</v>
      </c>
      <c r="C14" s="48"/>
      <c r="D14" s="48"/>
      <c r="E14" s="56">
        <v>400</v>
      </c>
      <c r="F14" s="31">
        <v>300</v>
      </c>
      <c r="G14" s="33">
        <f t="shared" si="0"/>
        <v>100</v>
      </c>
      <c r="H14" s="31"/>
      <c r="I14" s="31"/>
      <c r="J14" s="33">
        <f t="shared" si="1"/>
        <v>0</v>
      </c>
    </row>
    <row r="15" spans="1:11" x14ac:dyDescent="0.35">
      <c r="A15" t="s">
        <v>55</v>
      </c>
      <c r="B15" s="32" t="s">
        <v>127</v>
      </c>
      <c r="C15" s="48"/>
      <c r="D15" s="48"/>
      <c r="E15" s="31">
        <v>200</v>
      </c>
      <c r="F15" s="31">
        <v>200</v>
      </c>
      <c r="G15" s="33">
        <f t="shared" si="0"/>
        <v>0</v>
      </c>
      <c r="H15" s="31">
        <v>125</v>
      </c>
      <c r="I15" s="31">
        <v>125</v>
      </c>
      <c r="J15" s="33">
        <f t="shared" si="1"/>
        <v>0</v>
      </c>
    </row>
    <row r="16" spans="1:11" x14ac:dyDescent="0.35">
      <c r="A16" t="s">
        <v>41</v>
      </c>
      <c r="B16" s="32" t="s">
        <v>128</v>
      </c>
      <c r="C16" s="48"/>
      <c r="D16" s="48"/>
      <c r="E16" s="31">
        <v>200</v>
      </c>
      <c r="F16" s="31">
        <v>200</v>
      </c>
      <c r="G16" s="33">
        <f t="shared" si="0"/>
        <v>0</v>
      </c>
      <c r="H16" s="31"/>
      <c r="I16" s="31"/>
      <c r="J16" s="33">
        <f t="shared" si="1"/>
        <v>0</v>
      </c>
    </row>
    <row r="17" spans="1:12" x14ac:dyDescent="0.35">
      <c r="A17" s="53" t="s">
        <v>56</v>
      </c>
      <c r="B17" s="32" t="s">
        <v>193</v>
      </c>
      <c r="C17" s="49"/>
      <c r="D17" s="49"/>
      <c r="E17" s="31">
        <v>200</v>
      </c>
      <c r="F17" s="31"/>
      <c r="G17" s="33">
        <f t="shared" si="0"/>
        <v>200</v>
      </c>
      <c r="H17" s="31"/>
      <c r="I17" s="31"/>
      <c r="J17" s="33">
        <f t="shared" si="1"/>
        <v>0</v>
      </c>
      <c r="K17" s="53" t="s">
        <v>244</v>
      </c>
    </row>
    <row r="18" spans="1:12" x14ac:dyDescent="0.35">
      <c r="A18" s="46" t="s">
        <v>42</v>
      </c>
      <c r="B18" s="32" t="s">
        <v>127</v>
      </c>
      <c r="C18" s="48">
        <v>50.6</v>
      </c>
      <c r="D18" s="48">
        <v>31.4</v>
      </c>
      <c r="E18" s="31">
        <f>200-C18</f>
        <v>149.4</v>
      </c>
      <c r="F18" s="31">
        <v>149.4</v>
      </c>
      <c r="G18" s="33">
        <f t="shared" si="0"/>
        <v>0</v>
      </c>
      <c r="H18" s="31">
        <f>125-D18</f>
        <v>93.6</v>
      </c>
      <c r="I18" s="31">
        <v>93.6</v>
      </c>
      <c r="J18" s="33">
        <f t="shared" si="1"/>
        <v>0</v>
      </c>
      <c r="K18" s="36"/>
    </row>
    <row r="19" spans="1:12" x14ac:dyDescent="0.35">
      <c r="A19" t="s">
        <v>43</v>
      </c>
      <c r="B19" s="32" t="s">
        <v>130</v>
      </c>
      <c r="C19" s="48"/>
      <c r="D19" s="48"/>
      <c r="E19" s="31">
        <v>200</v>
      </c>
      <c r="F19" s="31">
        <v>200</v>
      </c>
      <c r="G19" s="33">
        <f t="shared" si="0"/>
        <v>0</v>
      </c>
      <c r="H19" s="31"/>
      <c r="I19" s="31"/>
      <c r="J19" s="33">
        <f t="shared" si="1"/>
        <v>0</v>
      </c>
    </row>
    <row r="20" spans="1:12" x14ac:dyDescent="0.35">
      <c r="A20" t="s">
        <v>44</v>
      </c>
      <c r="B20" s="32" t="s">
        <v>127</v>
      </c>
      <c r="C20" s="48"/>
      <c r="D20" s="48"/>
      <c r="E20" s="31">
        <v>200</v>
      </c>
      <c r="F20" s="31">
        <v>200</v>
      </c>
      <c r="G20" s="33">
        <f t="shared" si="0"/>
        <v>0</v>
      </c>
      <c r="H20" s="31">
        <v>125</v>
      </c>
      <c r="I20" s="31">
        <v>125</v>
      </c>
      <c r="J20" s="33">
        <f t="shared" si="1"/>
        <v>0</v>
      </c>
    </row>
    <row r="21" spans="1:12" x14ac:dyDescent="0.35">
      <c r="A21" s="53" t="s">
        <v>57</v>
      </c>
      <c r="B21" s="32" t="s">
        <v>127</v>
      </c>
      <c r="C21" s="48"/>
      <c r="D21" s="48"/>
      <c r="E21" s="56">
        <f>40+200</f>
        <v>240</v>
      </c>
      <c r="F21" s="31"/>
      <c r="G21" s="33">
        <f t="shared" si="0"/>
        <v>240</v>
      </c>
      <c r="H21" s="56"/>
      <c r="I21" s="31"/>
      <c r="J21" s="33">
        <f t="shared" si="1"/>
        <v>0</v>
      </c>
      <c r="K21" t="s">
        <v>242</v>
      </c>
      <c r="L21" s="57">
        <f>G21-325</f>
        <v>-85</v>
      </c>
    </row>
    <row r="22" spans="1:12" x14ac:dyDescent="0.35">
      <c r="A22" t="s">
        <v>45</v>
      </c>
      <c r="B22" s="32" t="s">
        <v>127</v>
      </c>
      <c r="C22" s="48"/>
      <c r="D22" s="48"/>
      <c r="E22" s="31">
        <v>200</v>
      </c>
      <c r="F22" s="31">
        <v>200</v>
      </c>
      <c r="G22" s="33">
        <f t="shared" si="0"/>
        <v>0</v>
      </c>
      <c r="H22" s="31">
        <v>125</v>
      </c>
      <c r="I22" s="31">
        <v>125</v>
      </c>
      <c r="J22" s="33">
        <f t="shared" si="1"/>
        <v>0</v>
      </c>
    </row>
    <row r="23" spans="1:12" x14ac:dyDescent="0.35">
      <c r="A23" s="53" t="s">
        <v>46</v>
      </c>
      <c r="B23" s="32" t="s">
        <v>128</v>
      </c>
      <c r="C23" s="48"/>
      <c r="D23" s="48"/>
      <c r="E23" s="31">
        <v>200</v>
      </c>
      <c r="F23" s="31"/>
      <c r="G23" s="33">
        <f t="shared" si="0"/>
        <v>200</v>
      </c>
      <c r="H23" s="31"/>
      <c r="I23" s="31"/>
      <c r="J23" s="33">
        <f t="shared" si="1"/>
        <v>0</v>
      </c>
      <c r="K23" t="s">
        <v>242</v>
      </c>
    </row>
    <row r="24" spans="1:12" x14ac:dyDescent="0.35">
      <c r="A24" s="46" t="s">
        <v>47</v>
      </c>
      <c r="B24" s="32" t="s">
        <v>127</v>
      </c>
      <c r="C24" s="48"/>
      <c r="D24" s="48"/>
      <c r="E24" s="31">
        <v>200</v>
      </c>
      <c r="F24" s="31">
        <v>200</v>
      </c>
      <c r="G24" s="33">
        <f t="shared" si="0"/>
        <v>0</v>
      </c>
      <c r="H24" s="31">
        <v>125</v>
      </c>
      <c r="I24" s="31">
        <v>125</v>
      </c>
      <c r="J24" s="33">
        <f t="shared" si="1"/>
        <v>0</v>
      </c>
    </row>
    <row r="25" spans="1:12" x14ac:dyDescent="0.35">
      <c r="A25" t="s">
        <v>48</v>
      </c>
      <c r="B25" s="32" t="s">
        <v>193</v>
      </c>
      <c r="C25" s="48"/>
      <c r="D25" s="48"/>
      <c r="E25" s="31">
        <v>200</v>
      </c>
      <c r="F25" s="31">
        <v>200</v>
      </c>
      <c r="G25" s="33">
        <f t="shared" si="0"/>
        <v>0</v>
      </c>
      <c r="H25" s="31">
        <v>125</v>
      </c>
      <c r="I25" s="31">
        <v>125</v>
      </c>
      <c r="J25" s="33">
        <f t="shared" si="1"/>
        <v>0</v>
      </c>
      <c r="K25" t="s">
        <v>181</v>
      </c>
    </row>
    <row r="26" spans="1:12" x14ac:dyDescent="0.35">
      <c r="A26" t="s">
        <v>49</v>
      </c>
      <c r="B26" s="32" t="s">
        <v>196</v>
      </c>
      <c r="C26" s="48"/>
      <c r="D26" s="48"/>
      <c r="E26" s="31">
        <v>200</v>
      </c>
      <c r="F26" s="31"/>
      <c r="G26" s="33">
        <f t="shared" si="0"/>
        <v>200</v>
      </c>
      <c r="H26" s="31">
        <v>0</v>
      </c>
      <c r="I26" s="31"/>
      <c r="J26" s="33">
        <f t="shared" si="1"/>
        <v>0</v>
      </c>
      <c r="K26" s="53" t="s">
        <v>243</v>
      </c>
    </row>
    <row r="27" spans="1:12" x14ac:dyDescent="0.35">
      <c r="A27" t="s">
        <v>50</v>
      </c>
      <c r="B27" s="32" t="s">
        <v>127</v>
      </c>
      <c r="C27" s="48"/>
      <c r="D27" s="48"/>
      <c r="E27" s="31">
        <v>200</v>
      </c>
      <c r="F27" s="31">
        <v>200</v>
      </c>
      <c r="G27" s="33">
        <f t="shared" si="0"/>
        <v>0</v>
      </c>
      <c r="H27" s="31">
        <v>125</v>
      </c>
      <c r="I27" s="31">
        <v>125</v>
      </c>
      <c r="J27" s="33">
        <f t="shared" si="1"/>
        <v>0</v>
      </c>
    </row>
    <row r="28" spans="1:12" x14ac:dyDescent="0.35">
      <c r="A28" t="s">
        <v>51</v>
      </c>
      <c r="B28" s="32" t="s">
        <v>128</v>
      </c>
      <c r="C28" s="48"/>
      <c r="D28" s="48"/>
      <c r="E28" s="31">
        <v>200</v>
      </c>
      <c r="F28" s="31">
        <v>200</v>
      </c>
      <c r="G28" s="33">
        <f t="shared" si="0"/>
        <v>0</v>
      </c>
      <c r="H28" s="31">
        <v>0</v>
      </c>
      <c r="I28" s="31"/>
      <c r="J28" s="33">
        <f t="shared" si="1"/>
        <v>0</v>
      </c>
    </row>
    <row r="29" spans="1:12" x14ac:dyDescent="0.35">
      <c r="A29" t="s">
        <v>52</v>
      </c>
      <c r="B29" s="32" t="s">
        <v>127</v>
      </c>
      <c r="C29" s="48"/>
      <c r="D29" s="48"/>
      <c r="E29" s="31">
        <v>200</v>
      </c>
      <c r="F29" s="31">
        <v>200</v>
      </c>
      <c r="G29" s="33">
        <f t="shared" si="0"/>
        <v>0</v>
      </c>
      <c r="H29" s="31">
        <v>125</v>
      </c>
      <c r="I29" s="31">
        <v>125</v>
      </c>
      <c r="J29" s="33">
        <f t="shared" si="1"/>
        <v>0</v>
      </c>
    </row>
    <row r="30" spans="1:12" x14ac:dyDescent="0.35">
      <c r="A30" t="s">
        <v>53</v>
      </c>
      <c r="B30" s="32" t="s">
        <v>127</v>
      </c>
      <c r="C30" s="48"/>
      <c r="D30" s="48"/>
      <c r="E30" s="31">
        <v>200</v>
      </c>
      <c r="F30" s="31">
        <v>200</v>
      </c>
      <c r="G30" s="33">
        <f t="shared" si="0"/>
        <v>0</v>
      </c>
      <c r="H30" s="31">
        <v>125</v>
      </c>
      <c r="I30" s="31">
        <v>125</v>
      </c>
      <c r="J30" s="33">
        <f t="shared" si="1"/>
        <v>0</v>
      </c>
    </row>
    <row r="31" spans="1:12" x14ac:dyDescent="0.35">
      <c r="A31" t="s">
        <v>54</v>
      </c>
      <c r="B31" s="32" t="s">
        <v>127</v>
      </c>
      <c r="C31" s="48"/>
      <c r="D31" s="48"/>
      <c r="E31" s="31">
        <v>200</v>
      </c>
      <c r="F31" s="31">
        <v>200</v>
      </c>
      <c r="G31" s="33">
        <f t="shared" si="0"/>
        <v>0</v>
      </c>
      <c r="H31" s="31">
        <v>125</v>
      </c>
      <c r="I31" s="31">
        <v>125</v>
      </c>
      <c r="J31" s="33">
        <f t="shared" si="1"/>
        <v>0</v>
      </c>
    </row>
    <row r="32" spans="1:12" x14ac:dyDescent="0.35">
      <c r="A32" s="8" t="s">
        <v>183</v>
      </c>
      <c r="B32" s="7">
        <f>COUNTIFS(Members!B3:B31,"=FULL")+COUNTIFS(Members!B3:B31,"=ND")+COUNTIFS(Members!B3:B31,"=PAYG")</f>
        <v>23</v>
      </c>
      <c r="G32" s="60">
        <f>SUM(G3:G31)</f>
        <v>1340</v>
      </c>
      <c r="J32" s="60">
        <f>SUM(J3:J31)</f>
        <v>0</v>
      </c>
    </row>
    <row r="33" spans="1:2" x14ac:dyDescent="0.35">
      <c r="A33" t="s">
        <v>184</v>
      </c>
      <c r="B33" s="7">
        <f>COUNTIFS(Members!B3:B31,"=FULL")</f>
        <v>14</v>
      </c>
    </row>
  </sheetData>
  <sortState xmlns:xlrd2="http://schemas.microsoft.com/office/spreadsheetml/2017/richdata2" ref="A2:A31">
    <sortCondition ref="A2:A31"/>
  </sortState>
  <conditionalFormatting sqref="G3:G31">
    <cfRule type="cellIs" dxfId="1" priority="2" operator="notEqual">
      <formula>0</formula>
    </cfRule>
  </conditionalFormatting>
  <conditionalFormatting sqref="J3:J31">
    <cfRule type="cellIs" dxfId="0" priority="1" operator="notEqual">
      <formula>0</formula>
    </cfRule>
  </conditionalFormatting>
  <printOptions gridLines="1"/>
  <pageMargins left="0.70866141732283472" right="0.70866141732283472" top="0.74803149606299213" bottom="0.74803149606299213" header="0.31496062992125984" footer="0.31496062992125984"/>
  <pageSetup paperSize="9" scale="77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6209-345E-43B9-BFD1-677A149A8000}">
  <dimension ref="B1:K60"/>
  <sheetViews>
    <sheetView workbookViewId="0">
      <pane ySplit="1" topLeftCell="A8" activePane="bottomLeft" state="frozen"/>
      <selection pane="bottomLeft" activeCell="Q28" sqref="Q28"/>
    </sheetView>
  </sheetViews>
  <sheetFormatPr defaultRowHeight="14.5" x14ac:dyDescent="0.35"/>
  <cols>
    <col min="2" max="2" width="26.54296875" customWidth="1"/>
    <col min="3" max="3" width="4.81640625" style="21" bestFit="1" customWidth="1"/>
    <col min="4" max="10" width="8.7265625" style="21"/>
  </cols>
  <sheetData>
    <row r="1" spans="2:11" x14ac:dyDescent="0.35">
      <c r="C1" s="21" t="s">
        <v>158</v>
      </c>
      <c r="D1" s="21" t="s">
        <v>151</v>
      </c>
      <c r="E1" s="21" t="s">
        <v>153</v>
      </c>
      <c r="F1" s="21" t="s">
        <v>154</v>
      </c>
      <c r="G1" s="21" t="s">
        <v>155</v>
      </c>
      <c r="H1" s="21" t="s">
        <v>156</v>
      </c>
      <c r="I1" s="21" t="s">
        <v>12</v>
      </c>
      <c r="J1" s="21" t="s">
        <v>161</v>
      </c>
      <c r="K1" s="21" t="s">
        <v>160</v>
      </c>
    </row>
    <row r="2" spans="2:11" x14ac:dyDescent="0.35">
      <c r="B2" t="s">
        <v>27</v>
      </c>
      <c r="C2" s="21" t="s">
        <v>127</v>
      </c>
      <c r="D2" s="21">
        <v>1</v>
      </c>
      <c r="E2" s="21">
        <v>1</v>
      </c>
      <c r="F2" s="21">
        <v>1</v>
      </c>
      <c r="G2" s="21">
        <v>1</v>
      </c>
      <c r="H2" s="21">
        <v>1</v>
      </c>
      <c r="I2" s="21">
        <f>SUM(D2:H2)</f>
        <v>5</v>
      </c>
      <c r="J2">
        <v>125</v>
      </c>
    </row>
    <row r="3" spans="2:11" x14ac:dyDescent="0.35">
      <c r="B3" t="s">
        <v>28</v>
      </c>
      <c r="C3" s="21" t="s">
        <v>128</v>
      </c>
      <c r="I3" s="21">
        <f t="shared" ref="I3:I32" si="0">SUM(D3:H3)</f>
        <v>0</v>
      </c>
      <c r="J3">
        <f>I3*30</f>
        <v>0</v>
      </c>
    </row>
    <row r="4" spans="2:11" x14ac:dyDescent="0.35">
      <c r="B4" t="s">
        <v>29</v>
      </c>
      <c r="C4" s="21" t="s">
        <v>128</v>
      </c>
      <c r="I4" s="21">
        <f t="shared" si="0"/>
        <v>0</v>
      </c>
      <c r="J4">
        <f t="shared" ref="J4:J11" si="1">I4*30</f>
        <v>0</v>
      </c>
    </row>
    <row r="5" spans="2:11" x14ac:dyDescent="0.35">
      <c r="B5" t="s">
        <v>30</v>
      </c>
      <c r="C5" s="21" t="s">
        <v>128</v>
      </c>
      <c r="E5" s="21">
        <v>1</v>
      </c>
      <c r="G5" s="21">
        <v>1</v>
      </c>
      <c r="I5" s="21">
        <f t="shared" si="0"/>
        <v>2</v>
      </c>
      <c r="J5">
        <f t="shared" si="1"/>
        <v>60</v>
      </c>
    </row>
    <row r="6" spans="2:11" x14ac:dyDescent="0.35">
      <c r="B6" t="s">
        <v>31</v>
      </c>
      <c r="C6" s="21" t="s">
        <v>129</v>
      </c>
      <c r="G6" s="21">
        <v>1</v>
      </c>
      <c r="I6" s="21">
        <f t="shared" si="0"/>
        <v>1</v>
      </c>
      <c r="J6">
        <f t="shared" si="1"/>
        <v>30</v>
      </c>
    </row>
    <row r="7" spans="2:11" x14ac:dyDescent="0.35">
      <c r="B7" t="s">
        <v>32</v>
      </c>
      <c r="C7" s="21" t="s">
        <v>128</v>
      </c>
      <c r="I7" s="21">
        <f t="shared" si="0"/>
        <v>0</v>
      </c>
      <c r="J7">
        <f t="shared" si="1"/>
        <v>0</v>
      </c>
    </row>
    <row r="8" spans="2:11" x14ac:dyDescent="0.35">
      <c r="B8" t="s">
        <v>33</v>
      </c>
      <c r="C8" s="21" t="s">
        <v>128</v>
      </c>
      <c r="I8" s="21">
        <f t="shared" si="0"/>
        <v>0</v>
      </c>
      <c r="J8">
        <f t="shared" si="1"/>
        <v>0</v>
      </c>
    </row>
    <row r="9" spans="2:11" x14ac:dyDescent="0.35">
      <c r="B9" t="s">
        <v>34</v>
      </c>
      <c r="C9" s="21" t="s">
        <v>128</v>
      </c>
      <c r="I9" s="21">
        <f t="shared" si="0"/>
        <v>0</v>
      </c>
      <c r="J9">
        <f t="shared" si="1"/>
        <v>0</v>
      </c>
    </row>
    <row r="10" spans="2:11" x14ac:dyDescent="0.35">
      <c r="B10" t="s">
        <v>35</v>
      </c>
      <c r="C10" s="21" t="s">
        <v>127</v>
      </c>
      <c r="D10" s="21">
        <v>1</v>
      </c>
      <c r="E10" s="21">
        <v>1</v>
      </c>
      <c r="F10" s="21">
        <v>1</v>
      </c>
      <c r="G10" s="21">
        <v>1</v>
      </c>
      <c r="H10" s="21">
        <v>1</v>
      </c>
      <c r="I10" s="21">
        <f t="shared" si="0"/>
        <v>5</v>
      </c>
      <c r="J10">
        <v>125</v>
      </c>
    </row>
    <row r="11" spans="2:11" x14ac:dyDescent="0.35">
      <c r="B11" t="s">
        <v>36</v>
      </c>
      <c r="C11" s="21" t="s">
        <v>130</v>
      </c>
      <c r="E11" s="21">
        <v>0</v>
      </c>
      <c r="F11" s="21">
        <v>0</v>
      </c>
      <c r="I11" s="21">
        <f t="shared" si="0"/>
        <v>0</v>
      </c>
      <c r="J11">
        <f t="shared" si="1"/>
        <v>0</v>
      </c>
    </row>
    <row r="12" spans="2:11" x14ac:dyDescent="0.35">
      <c r="B12" t="s">
        <v>37</v>
      </c>
      <c r="C12" s="21" t="s">
        <v>127</v>
      </c>
      <c r="I12" s="21">
        <f t="shared" si="0"/>
        <v>0</v>
      </c>
      <c r="J12" s="53">
        <v>125</v>
      </c>
    </row>
    <row r="13" spans="2:11" x14ac:dyDescent="0.35">
      <c r="B13" t="s">
        <v>38</v>
      </c>
      <c r="C13" s="21" t="s">
        <v>127</v>
      </c>
      <c r="I13" s="21">
        <f t="shared" si="0"/>
        <v>0</v>
      </c>
      <c r="J13">
        <v>125</v>
      </c>
    </row>
    <row r="14" spans="2:11" x14ac:dyDescent="0.35">
      <c r="B14" t="s">
        <v>39</v>
      </c>
      <c r="C14" s="21" t="s">
        <v>128</v>
      </c>
      <c r="I14" s="21">
        <f t="shared" si="0"/>
        <v>0</v>
      </c>
      <c r="J14">
        <f t="shared" ref="J14:J15" si="2">I14*30</f>
        <v>0</v>
      </c>
    </row>
    <row r="15" spans="2:11" x14ac:dyDescent="0.35">
      <c r="B15" t="s">
        <v>40</v>
      </c>
      <c r="C15" s="21" t="s">
        <v>130</v>
      </c>
      <c r="D15" s="21">
        <v>1</v>
      </c>
      <c r="E15" s="21">
        <v>1</v>
      </c>
      <c r="F15" s="21">
        <v>1</v>
      </c>
      <c r="G15" s="21">
        <v>1</v>
      </c>
      <c r="H15" s="21">
        <v>1</v>
      </c>
      <c r="I15" s="21">
        <f t="shared" si="0"/>
        <v>5</v>
      </c>
      <c r="J15">
        <f t="shared" si="2"/>
        <v>150</v>
      </c>
    </row>
    <row r="16" spans="2:11" x14ac:dyDescent="0.35">
      <c r="B16" t="s">
        <v>55</v>
      </c>
      <c r="C16" s="21" t="s">
        <v>127</v>
      </c>
      <c r="I16" s="21">
        <f t="shared" si="0"/>
        <v>0</v>
      </c>
      <c r="J16">
        <v>125</v>
      </c>
    </row>
    <row r="17" spans="2:10" x14ac:dyDescent="0.35">
      <c r="B17" t="s">
        <v>41</v>
      </c>
      <c r="C17" s="21" t="s">
        <v>128</v>
      </c>
      <c r="I17" s="21">
        <f t="shared" si="0"/>
        <v>0</v>
      </c>
      <c r="J17">
        <f>I17*30</f>
        <v>0</v>
      </c>
    </row>
    <row r="18" spans="2:10" x14ac:dyDescent="0.35">
      <c r="B18" t="s">
        <v>56</v>
      </c>
      <c r="C18" s="21" t="s">
        <v>127</v>
      </c>
      <c r="I18" s="21">
        <f t="shared" si="0"/>
        <v>0</v>
      </c>
      <c r="J18">
        <v>125</v>
      </c>
    </row>
    <row r="19" spans="2:10" x14ac:dyDescent="0.35">
      <c r="B19" t="s">
        <v>42</v>
      </c>
      <c r="C19" s="21" t="s">
        <v>127</v>
      </c>
      <c r="I19" s="21">
        <f t="shared" si="0"/>
        <v>0</v>
      </c>
      <c r="J19">
        <v>125</v>
      </c>
    </row>
    <row r="20" spans="2:10" x14ac:dyDescent="0.35">
      <c r="B20" t="s">
        <v>43</v>
      </c>
      <c r="C20" s="21" t="s">
        <v>130</v>
      </c>
      <c r="G20" s="21">
        <v>1</v>
      </c>
      <c r="I20" s="21">
        <f t="shared" si="0"/>
        <v>1</v>
      </c>
      <c r="J20">
        <f>I20*30</f>
        <v>30</v>
      </c>
    </row>
    <row r="21" spans="2:10" x14ac:dyDescent="0.35">
      <c r="B21" t="s">
        <v>44</v>
      </c>
      <c r="C21" s="21" t="s">
        <v>127</v>
      </c>
      <c r="G21" s="21">
        <v>1</v>
      </c>
      <c r="I21" s="21">
        <f t="shared" si="0"/>
        <v>1</v>
      </c>
      <c r="J21">
        <v>125</v>
      </c>
    </row>
    <row r="22" spans="2:10" x14ac:dyDescent="0.35">
      <c r="B22" t="s">
        <v>57</v>
      </c>
      <c r="C22" s="21" t="s">
        <v>127</v>
      </c>
      <c r="I22" s="21">
        <f t="shared" si="0"/>
        <v>0</v>
      </c>
      <c r="J22">
        <v>25</v>
      </c>
    </row>
    <row r="23" spans="2:10" x14ac:dyDescent="0.35">
      <c r="B23" t="s">
        <v>45</v>
      </c>
      <c r="C23" s="21" t="s">
        <v>127</v>
      </c>
      <c r="G23" s="21">
        <v>1</v>
      </c>
      <c r="I23" s="21">
        <f t="shared" si="0"/>
        <v>1</v>
      </c>
      <c r="J23">
        <v>125</v>
      </c>
    </row>
    <row r="24" spans="2:10" x14ac:dyDescent="0.35">
      <c r="B24" t="s">
        <v>46</v>
      </c>
      <c r="C24" s="21" t="s">
        <v>128</v>
      </c>
      <c r="I24" s="21">
        <f t="shared" si="0"/>
        <v>0</v>
      </c>
      <c r="J24">
        <f>I24*30</f>
        <v>0</v>
      </c>
    </row>
    <row r="25" spans="2:10" x14ac:dyDescent="0.35">
      <c r="B25" t="s">
        <v>47</v>
      </c>
      <c r="C25" s="21" t="s">
        <v>127</v>
      </c>
      <c r="I25" s="21">
        <f t="shared" si="0"/>
        <v>0</v>
      </c>
      <c r="J25">
        <v>125</v>
      </c>
    </row>
    <row r="26" spans="2:10" x14ac:dyDescent="0.35">
      <c r="B26" t="s">
        <v>48</v>
      </c>
      <c r="C26" s="21" t="s">
        <v>127</v>
      </c>
      <c r="G26" s="21">
        <v>1</v>
      </c>
      <c r="I26" s="21">
        <f t="shared" si="0"/>
        <v>1</v>
      </c>
      <c r="J26" s="53">
        <v>125</v>
      </c>
    </row>
    <row r="27" spans="2:10" x14ac:dyDescent="0.35">
      <c r="B27" t="s">
        <v>49</v>
      </c>
      <c r="C27" s="21" t="s">
        <v>131</v>
      </c>
      <c r="I27" s="21">
        <f t="shared" si="0"/>
        <v>0</v>
      </c>
      <c r="J27">
        <f>I27*30</f>
        <v>0</v>
      </c>
    </row>
    <row r="28" spans="2:10" x14ac:dyDescent="0.35">
      <c r="B28" t="s">
        <v>50</v>
      </c>
      <c r="C28" s="21" t="s">
        <v>127</v>
      </c>
      <c r="G28" s="21">
        <v>1</v>
      </c>
      <c r="I28" s="21">
        <f t="shared" si="0"/>
        <v>1</v>
      </c>
      <c r="J28">
        <v>125</v>
      </c>
    </row>
    <row r="29" spans="2:10" x14ac:dyDescent="0.35">
      <c r="B29" t="s">
        <v>51</v>
      </c>
      <c r="C29" s="21" t="s">
        <v>128</v>
      </c>
      <c r="D29" s="21">
        <v>1</v>
      </c>
      <c r="E29" s="21">
        <v>1</v>
      </c>
      <c r="G29" s="55">
        <v>1</v>
      </c>
      <c r="H29" s="21">
        <v>1</v>
      </c>
      <c r="I29" s="21">
        <f t="shared" si="0"/>
        <v>4</v>
      </c>
      <c r="J29">
        <f t="shared" ref="J29:J30" si="3">I29*30</f>
        <v>120</v>
      </c>
    </row>
    <row r="30" spans="2:10" x14ac:dyDescent="0.35">
      <c r="B30" t="s">
        <v>52</v>
      </c>
      <c r="C30" s="21" t="s">
        <v>127</v>
      </c>
      <c r="G30" s="21">
        <v>1</v>
      </c>
      <c r="I30" s="21">
        <f t="shared" si="0"/>
        <v>1</v>
      </c>
      <c r="J30">
        <f t="shared" si="3"/>
        <v>30</v>
      </c>
    </row>
    <row r="31" spans="2:10" x14ac:dyDescent="0.35">
      <c r="B31" t="s">
        <v>53</v>
      </c>
      <c r="C31" s="21" t="s">
        <v>127</v>
      </c>
      <c r="G31" s="21">
        <v>1</v>
      </c>
      <c r="I31" s="21">
        <f t="shared" si="0"/>
        <v>1</v>
      </c>
      <c r="J31">
        <v>125</v>
      </c>
    </row>
    <row r="32" spans="2:10" x14ac:dyDescent="0.35">
      <c r="B32" t="s">
        <v>54</v>
      </c>
      <c r="C32" s="21" t="s">
        <v>130</v>
      </c>
      <c r="D32" s="21">
        <v>1</v>
      </c>
      <c r="E32" s="21">
        <v>1</v>
      </c>
      <c r="G32" s="21">
        <v>1</v>
      </c>
      <c r="H32" s="21">
        <v>1</v>
      </c>
      <c r="I32" s="21">
        <f t="shared" si="0"/>
        <v>4</v>
      </c>
      <c r="J32">
        <f>I32*30</f>
        <v>120</v>
      </c>
    </row>
    <row r="33" spans="2:10" x14ac:dyDescent="0.35">
      <c r="J33"/>
    </row>
    <row r="34" spans="2:10" x14ac:dyDescent="0.35">
      <c r="B34" s="54" t="s">
        <v>166</v>
      </c>
      <c r="C34" s="21">
        <f>COUNTIFS(C2:C32,"FULL")-1</f>
        <v>14</v>
      </c>
      <c r="D34" s="21">
        <v>15</v>
      </c>
      <c r="E34" s="21">
        <f t="shared" ref="E34:G34" si="4">$C$34</f>
        <v>14</v>
      </c>
      <c r="F34" s="21">
        <f t="shared" si="4"/>
        <v>14</v>
      </c>
      <c r="G34" s="21">
        <f t="shared" si="4"/>
        <v>14</v>
      </c>
      <c r="H34" s="21">
        <v>16</v>
      </c>
      <c r="J34"/>
    </row>
    <row r="35" spans="2:10" x14ac:dyDescent="0.35">
      <c r="B35" s="54" t="s">
        <v>167</v>
      </c>
      <c r="D35" s="21">
        <f>SUMIFS(D2:D32,$C$2:$C$32,"ND")</f>
        <v>1</v>
      </c>
      <c r="E35" s="21">
        <f t="shared" ref="E35:H35" si="5">SUMIFS(E2:E32,$C$2:$C$32,"ND")</f>
        <v>2</v>
      </c>
      <c r="F35" s="21">
        <f t="shared" si="5"/>
        <v>0</v>
      </c>
      <c r="G35" s="21">
        <f t="shared" si="5"/>
        <v>2</v>
      </c>
      <c r="H35" s="21">
        <f t="shared" si="5"/>
        <v>1</v>
      </c>
      <c r="J35"/>
    </row>
    <row r="36" spans="2:10" x14ac:dyDescent="0.35">
      <c r="B36" s="54" t="s">
        <v>168</v>
      </c>
      <c r="D36" s="21">
        <f>SUMIFS(D2:D32,$C$2:$C$32,"PAYG")</f>
        <v>2</v>
      </c>
      <c r="E36" s="21">
        <f t="shared" ref="E36:H36" si="6">SUMIFS(E2:E32,$C$2:$C$32,"PAYG")</f>
        <v>2</v>
      </c>
      <c r="F36" s="21">
        <f t="shared" si="6"/>
        <v>1</v>
      </c>
      <c r="G36" s="21">
        <f t="shared" si="6"/>
        <v>3</v>
      </c>
      <c r="H36" s="21">
        <f t="shared" si="6"/>
        <v>2</v>
      </c>
      <c r="J36"/>
    </row>
    <row r="37" spans="2:10" x14ac:dyDescent="0.35">
      <c r="B37" t="s">
        <v>152</v>
      </c>
      <c r="D37" s="21">
        <v>1</v>
      </c>
      <c r="E37" s="21">
        <v>5</v>
      </c>
      <c r="F37" s="21">
        <v>3</v>
      </c>
      <c r="G37" s="21">
        <v>7</v>
      </c>
      <c r="H37" s="21">
        <v>3</v>
      </c>
      <c r="I37" s="21">
        <f>SUM(D37:H37)</f>
        <v>19</v>
      </c>
      <c r="J37">
        <f>I37*30</f>
        <v>570</v>
      </c>
    </row>
    <row r="38" spans="2:10" x14ac:dyDescent="0.35">
      <c r="B38" s="54" t="s">
        <v>164</v>
      </c>
      <c r="D38" s="21">
        <f>D34*25</f>
        <v>375</v>
      </c>
      <c r="E38" s="21">
        <f t="shared" ref="E38:H38" si="7">E34*25</f>
        <v>350</v>
      </c>
      <c r="F38" s="21">
        <f t="shared" si="7"/>
        <v>350</v>
      </c>
      <c r="G38" s="21">
        <f t="shared" si="7"/>
        <v>350</v>
      </c>
      <c r="H38" s="21">
        <f t="shared" si="7"/>
        <v>400</v>
      </c>
      <c r="I38" s="21">
        <f>SUM(D38:H38)</f>
        <v>1825</v>
      </c>
      <c r="J38"/>
    </row>
    <row r="39" spans="2:10" x14ac:dyDescent="0.35">
      <c r="B39" s="54" t="s">
        <v>163</v>
      </c>
      <c r="D39" s="21">
        <f>SUM(D35:D37)*30</f>
        <v>120</v>
      </c>
      <c r="E39" s="21">
        <f t="shared" ref="E39:H39" si="8">SUM(E35:E37)*30</f>
        <v>270</v>
      </c>
      <c r="F39" s="21">
        <f t="shared" si="8"/>
        <v>120</v>
      </c>
      <c r="G39" s="21">
        <f t="shared" si="8"/>
        <v>360</v>
      </c>
      <c r="H39" s="21">
        <f t="shared" si="8"/>
        <v>180</v>
      </c>
      <c r="I39" s="21">
        <f>SUM(D39:H39)</f>
        <v>1050</v>
      </c>
    </row>
    <row r="40" spans="2:10" x14ac:dyDescent="0.35">
      <c r="B40" s="54" t="s">
        <v>169</v>
      </c>
      <c r="D40" s="7">
        <f>SUM(D38:D39)</f>
        <v>495</v>
      </c>
      <c r="E40" s="7">
        <f t="shared" ref="E40:H40" si="9">SUM(E38:E39)</f>
        <v>620</v>
      </c>
      <c r="F40" s="7">
        <f t="shared" si="9"/>
        <v>470</v>
      </c>
      <c r="G40" s="7">
        <f t="shared" si="9"/>
        <v>710</v>
      </c>
      <c r="H40" s="7">
        <f t="shared" si="9"/>
        <v>580</v>
      </c>
      <c r="I40" s="7">
        <f>SUM(D40:H40)</f>
        <v>2875</v>
      </c>
    </row>
    <row r="41" spans="2:10" x14ac:dyDescent="0.35">
      <c r="B41" s="54"/>
    </row>
    <row r="42" spans="2:10" x14ac:dyDescent="0.35">
      <c r="B42" s="54" t="s">
        <v>170</v>
      </c>
    </row>
    <row r="43" spans="2:10" x14ac:dyDescent="0.35">
      <c r="B43" s="54" t="s">
        <v>172</v>
      </c>
      <c r="D43" s="21">
        <f>D34</f>
        <v>15</v>
      </c>
      <c r="E43" s="21">
        <f t="shared" ref="E43:H43" si="10">E34</f>
        <v>14</v>
      </c>
      <c r="F43" s="21">
        <f t="shared" si="10"/>
        <v>14</v>
      </c>
      <c r="G43" s="21">
        <f t="shared" si="10"/>
        <v>14</v>
      </c>
      <c r="H43" s="21">
        <f t="shared" si="10"/>
        <v>16</v>
      </c>
      <c r="I43" s="21">
        <f>SUM(D43:H43)</f>
        <v>73</v>
      </c>
    </row>
    <row r="44" spans="2:10" x14ac:dyDescent="0.35">
      <c r="B44" s="54" t="s">
        <v>152</v>
      </c>
      <c r="D44" s="21">
        <f>D37</f>
        <v>1</v>
      </c>
      <c r="E44" s="21">
        <f t="shared" ref="E44:H44" si="11">E37</f>
        <v>5</v>
      </c>
      <c r="F44" s="21">
        <f t="shared" si="11"/>
        <v>3</v>
      </c>
      <c r="G44" s="21">
        <f t="shared" si="11"/>
        <v>7</v>
      </c>
      <c r="H44" s="21">
        <f t="shared" si="11"/>
        <v>3</v>
      </c>
      <c r="I44" s="21">
        <f>SUM(D44:H44)</f>
        <v>19</v>
      </c>
    </row>
    <row r="45" spans="2:10" x14ac:dyDescent="0.35">
      <c r="B45" s="53" t="s">
        <v>58</v>
      </c>
      <c r="C45" s="55"/>
      <c r="D45" s="55">
        <v>1</v>
      </c>
      <c r="E45" s="55">
        <v>1</v>
      </c>
      <c r="F45" s="55">
        <v>1</v>
      </c>
      <c r="G45" s="55">
        <v>1</v>
      </c>
      <c r="H45" s="55">
        <v>1</v>
      </c>
      <c r="I45" s="55">
        <f>SUM(D45:H45)</f>
        <v>5</v>
      </c>
      <c r="J45"/>
    </row>
    <row r="46" spans="2:10" x14ac:dyDescent="0.35">
      <c r="B46" s="53" t="s">
        <v>165</v>
      </c>
      <c r="C46" s="55"/>
      <c r="D46" s="55">
        <v>1</v>
      </c>
      <c r="E46" s="55">
        <v>1</v>
      </c>
      <c r="F46" s="55">
        <v>1</v>
      </c>
      <c r="G46" s="55">
        <v>1</v>
      </c>
      <c r="H46" s="55">
        <v>1</v>
      </c>
      <c r="I46" s="55">
        <f>SUM(D46:H46)</f>
        <v>5</v>
      </c>
      <c r="J46"/>
    </row>
    <row r="47" spans="2:10" x14ac:dyDescent="0.35">
      <c r="B47" s="53" t="s">
        <v>157</v>
      </c>
      <c r="C47" s="55"/>
      <c r="D47" s="55"/>
      <c r="E47" s="55"/>
      <c r="F47" s="55"/>
      <c r="G47" s="55"/>
      <c r="H47" s="55"/>
      <c r="I47" s="55"/>
      <c r="J47"/>
    </row>
    <row r="48" spans="2:10" x14ac:dyDescent="0.35">
      <c r="B48" t="s">
        <v>159</v>
      </c>
      <c r="D48" s="21">
        <f>SUM(D43:D47)</f>
        <v>18</v>
      </c>
      <c r="E48" s="21">
        <f t="shared" ref="E48:I48" si="12">SUM(E43:E47)</f>
        <v>21</v>
      </c>
      <c r="F48" s="21">
        <f t="shared" si="12"/>
        <v>19</v>
      </c>
      <c r="G48" s="21">
        <f t="shared" si="12"/>
        <v>23</v>
      </c>
      <c r="H48" s="21">
        <f t="shared" si="12"/>
        <v>21</v>
      </c>
      <c r="I48" s="21">
        <f t="shared" si="12"/>
        <v>102</v>
      </c>
      <c r="J48"/>
    </row>
    <row r="49" spans="2:10" x14ac:dyDescent="0.35">
      <c r="J49"/>
    </row>
    <row r="50" spans="2:10" x14ac:dyDescent="0.35">
      <c r="B50" s="53" t="s">
        <v>171</v>
      </c>
      <c r="C50" s="55"/>
      <c r="D50" s="55">
        <f t="shared" ref="D50:I50" si="13">SUM(D45:D47)*30</f>
        <v>60</v>
      </c>
      <c r="E50" s="55">
        <f t="shared" si="13"/>
        <v>60</v>
      </c>
      <c r="F50" s="55">
        <f t="shared" si="13"/>
        <v>60</v>
      </c>
      <c r="G50" s="55">
        <f t="shared" si="13"/>
        <v>60</v>
      </c>
      <c r="H50" s="55">
        <f t="shared" si="13"/>
        <v>60</v>
      </c>
      <c r="I50" s="55">
        <f t="shared" si="13"/>
        <v>300</v>
      </c>
      <c r="J50"/>
    </row>
    <row r="51" spans="2:10" x14ac:dyDescent="0.35">
      <c r="J51"/>
    </row>
    <row r="52" spans="2:10" x14ac:dyDescent="0.35">
      <c r="B52" t="s">
        <v>162</v>
      </c>
      <c r="D52" s="21">
        <v>700</v>
      </c>
      <c r="E52" s="21">
        <v>650</v>
      </c>
      <c r="F52" s="21">
        <v>754</v>
      </c>
      <c r="G52" s="21">
        <v>754</v>
      </c>
      <c r="H52" s="21">
        <v>546</v>
      </c>
      <c r="I52" s="21">
        <f>SUM(D52:H52)</f>
        <v>3404</v>
      </c>
    </row>
    <row r="53" spans="2:10" x14ac:dyDescent="0.35">
      <c r="B53" t="s">
        <v>173</v>
      </c>
      <c r="D53" s="21">
        <f>INT(D52/28)</f>
        <v>25</v>
      </c>
      <c r="E53" s="21">
        <f t="shared" ref="E53:H53" si="14">INT(E52/28)</f>
        <v>23</v>
      </c>
      <c r="F53" s="21">
        <f t="shared" si="14"/>
        <v>26</v>
      </c>
      <c r="G53" s="21">
        <f t="shared" si="14"/>
        <v>26</v>
      </c>
      <c r="H53" s="21">
        <f t="shared" si="14"/>
        <v>19</v>
      </c>
    </row>
    <row r="54" spans="2:10" x14ac:dyDescent="0.35">
      <c r="J54"/>
    </row>
    <row r="57" spans="2:10" x14ac:dyDescent="0.35">
      <c r="J57"/>
    </row>
    <row r="58" spans="2:10" x14ac:dyDescent="0.35">
      <c r="B58" s="54"/>
      <c r="J58"/>
    </row>
    <row r="60" spans="2:10" x14ac:dyDescent="0.35">
      <c r="B60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Statement</vt:lpstr>
      <vt:lpstr>Cash</vt:lpstr>
      <vt:lpstr>Bank</vt:lpstr>
      <vt:lpstr>Members</vt:lpstr>
      <vt:lpstr>Dining Check</vt:lpstr>
      <vt:lpstr>members</vt:lpstr>
      <vt:lpstr>Bank!Print_Area</vt:lpstr>
      <vt:lpstr>Cash!Print_Area</vt:lpstr>
      <vt:lpstr>Members!Print_Area</vt:lpstr>
      <vt:lpstr>Statement!Print_Area</vt:lpstr>
      <vt:lpstr>Bank!Print_Titles</vt:lpstr>
      <vt:lpstr>Cash!Print_Titles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Stock</dc:creator>
  <cp:lastModifiedBy>Steve Stock</cp:lastModifiedBy>
  <cp:lastPrinted>2026-03-21T10:33:52Z</cp:lastPrinted>
  <dcterms:created xsi:type="dcterms:W3CDTF">2015-06-05T18:17:20Z</dcterms:created>
  <dcterms:modified xsi:type="dcterms:W3CDTF">2026-03-21T21:52:46Z</dcterms:modified>
</cp:coreProperties>
</file>